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etroMate\Mahdev Restaurant\"/>
    </mc:Choice>
  </mc:AlternateContent>
  <bookViews>
    <workbookView xWindow="0" yWindow="0" windowWidth="13845" windowHeight="6795" activeTab="6"/>
  </bookViews>
  <sheets>
    <sheet name="Page1 Front Cover" sheetId="1" r:id="rId1"/>
    <sheet name="Page2 Signature Thali" sheetId="2" r:id="rId2"/>
    <sheet name="Page3 Starters Soups" sheetId="3" r:id="rId3"/>
    <sheet name="Page4 Sabzi Curries" sheetId="4" r:id="rId4"/>
    <sheet name="Page5 Dal Rice Breads" sheetId="5" r:id="rId5"/>
    <sheet name="Page6 PavBhaji RiceBowls" sheetId="6" r:id="rId6"/>
    <sheet name="Page7 Dosa Varieties" sheetId="7" r:id="rId7"/>
    <sheet name="Page8 Sides Desserts" sheetId="8" r:id="rId8"/>
    <sheet name="Page9 Back Cover" sheetId="9" r:id="rId9"/>
  </sheets>
  <calcPr calcId="162913"/>
</workbook>
</file>

<file path=xl/calcChain.xml><?xml version="1.0" encoding="utf-8"?>
<calcChain xmlns="http://schemas.openxmlformats.org/spreadsheetml/2006/main">
  <c r="D8" i="8" l="1"/>
  <c r="D9" i="8"/>
  <c r="D5" i="8"/>
  <c r="D6" i="8"/>
  <c r="D7" i="8"/>
  <c r="D4" i="8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" i="7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4" i="6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4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4" i="4"/>
  <c r="F6" i="2"/>
  <c r="F7" i="2"/>
  <c r="F8" i="2"/>
  <c r="F9" i="2"/>
  <c r="F10" i="2"/>
  <c r="F5" i="2"/>
  <c r="F31" i="3"/>
  <c r="F30" i="3"/>
  <c r="F29" i="3"/>
  <c r="F5" i="3"/>
  <c r="F6" i="3"/>
  <c r="F7" i="3"/>
  <c r="F8" i="3"/>
  <c r="F10" i="3"/>
  <c r="F11" i="3"/>
  <c r="F12" i="3"/>
  <c r="F13" i="3"/>
  <c r="F14" i="3"/>
  <c r="F15" i="3"/>
  <c r="F16" i="3"/>
  <c r="F17" i="3"/>
  <c r="F18" i="3"/>
  <c r="F19" i="3"/>
  <c r="F20" i="3"/>
  <c r="F22" i="3"/>
  <c r="F23" i="3"/>
  <c r="F24" i="3"/>
  <c r="F25" i="3"/>
  <c r="F26" i="3"/>
  <c r="F27" i="3"/>
  <c r="F4" i="3"/>
</calcChain>
</file>

<file path=xl/sharedStrings.xml><?xml version="1.0" encoding="utf-8"?>
<sst xmlns="http://schemas.openxmlformats.org/spreadsheetml/2006/main" count="454" uniqueCount="403">
  <si>
    <t>MAHADEV RESTAURANT ✦</t>
  </si>
  <si>
    <t>Signature Thali</t>
  </si>
  <si>
    <t>Starters &amp; Soups</t>
  </si>
  <si>
    <t>AUTHENTIC RAJASTHANI &amp; INDIAN CUISINE</t>
  </si>
  <si>
    <t>Sabzi &amp; Curries</t>
  </si>
  <si>
    <t>Where Every Meal Celebrates Tradition</t>
  </si>
  <si>
    <t>✦ Royal Rajasthani &amp; Unlimited ✦</t>
  </si>
  <si>
    <t>Code</t>
  </si>
  <si>
    <t>Rating</t>
  </si>
  <si>
    <t>Item Name</t>
  </si>
  <si>
    <t>Dine-in</t>
  </si>
  <si>
    <t>⭐ 4.8 ★ (10k+ orders)</t>
  </si>
  <si>
    <t>🍜 Soups</t>
  </si>
  <si>
    <t>🥘 Veg Sabzi</t>
  </si>
  <si>
    <t>👑 Special Thali</t>
  </si>
  <si>
    <t>Contact</t>
  </si>
  <si>
    <t>📞 +91-8306069631</t>
  </si>
  <si>
    <t>📱 WhatsApp</t>
  </si>
  <si>
    <t>24.1</t>
  </si>
  <si>
    <t>1.1</t>
  </si>
  <si>
    <t>11.1</t>
  </si>
  <si>
    <t>https://wa.me/918306069631</t>
  </si>
  <si>
    <t>Rajasthani Sp. Dal Bati ( Mini)</t>
  </si>
  <si>
    <t>Tomato Soup</t>
  </si>
  <si>
    <t>Mixed Veg</t>
  </si>
  <si>
    <t xml:space="preserve">Address </t>
  </si>
  <si>
    <t>📍 12, Siddhi Residency, Near Raj Arcade, Pal, Surat</t>
  </si>
  <si>
    <t>24.2</t>
  </si>
  <si>
    <t>1.2</t>
  </si>
  <si>
    <t>Rajasthani Sp. Dal Bati - Churma</t>
  </si>
  <si>
    <t>11.2</t>
  </si>
  <si>
    <t>Instagram</t>
  </si>
  <si>
    <t>Manchow Soup</t>
  </si>
  <si>
    <t>https://www.instagram.com/mahadevrestuarant/</t>
  </si>
  <si>
    <t>Veg Kadhai</t>
  </si>
  <si>
    <t>24.3</t>
  </si>
  <si>
    <t xml:space="preserve">Rajasthani Thali ( Ker Sagri , Gatta Sabji, Dal Tadka, Jeera Rice, 6 Roti, Achar, Papad, Chaas &amp; Sweet ) </t>
  </si>
  <si>
    <t>1.3</t>
  </si>
  <si>
    <t>11.3</t>
  </si>
  <si>
    <t>24.4</t>
  </si>
  <si>
    <t>Hot &amp; Sour Soup</t>
  </si>
  <si>
    <t>Veg Handi</t>
  </si>
  <si>
    <t>Rajasthani Thali ( 2 Sabji 4 Roti, Salad, Chaas )</t>
  </si>
  <si>
    <t>1.4</t>
  </si>
  <si>
    <t>24.5</t>
  </si>
  <si>
    <t>11.4</t>
  </si>
  <si>
    <t>Punjabi Thali ( Paneer Sabji , Veg Sabji, 2 Roti, Papad, Chaas, Sweet, Jeera Rice &amp; Dal Fry</t>
  </si>
  <si>
    <t>Lemon Coriander Soup</t>
  </si>
  <si>
    <t>Veg Kolhapuri</t>
  </si>
  <si>
    <t>24.6</t>
  </si>
  <si>
    <t xml:space="preserve">Rajasthani Sp.Thali Bafla Bati ( Bafla Bati 4, Dal, Churma, Jeera Rice, Lasan Chutney, Ghee, Salad, Chaas, Papad, Gud ) </t>
  </si>
  <si>
    <t>11.5</t>
  </si>
  <si>
    <t>1.5</t>
  </si>
  <si>
    <t>Veg Toofani</t>
  </si>
  <si>
    <t>Burnt Butter Garlic Soup</t>
  </si>
  <si>
    <t>11.6</t>
  </si>
  <si>
    <t xml:space="preserve">Order </t>
  </si>
  <si>
    <t>Veg Angara</t>
  </si>
  <si>
    <t xml:space="preserve">Party Order Catering Order Drop Catering Event Catering </t>
  </si>
  <si>
    <t>🍝 Noodles</t>
  </si>
  <si>
    <t>11.7</t>
  </si>
  <si>
    <t xml:space="preserve">Delivery Partner </t>
  </si>
  <si>
    <t>Veg Hyderabadi</t>
  </si>
  <si>
    <t xml:space="preserve">Swiggy </t>
  </si>
  <si>
    <t>2.1</t>
  </si>
  <si>
    <t>11.8</t>
  </si>
  <si>
    <t>Jeera Aloo</t>
  </si>
  <si>
    <t>Hakka Noodles - Half</t>
  </si>
  <si>
    <t xml:space="preserve">Zomato </t>
  </si>
  <si>
    <t xml:space="preserve">Parcel </t>
  </si>
  <si>
    <t>11.9</t>
  </si>
  <si>
    <t>2.2</t>
  </si>
  <si>
    <t>Available  upto 3-5 kms</t>
  </si>
  <si>
    <t>Hakka Noodles - Full</t>
  </si>
  <si>
    <t>Aloo Gobi</t>
  </si>
  <si>
    <t>2.3</t>
  </si>
  <si>
    <t>11.10</t>
  </si>
  <si>
    <t>Manchurian Noodles - Half</t>
  </si>
  <si>
    <t>Mahadev Special Veg</t>
  </si>
  <si>
    <t>We Accept Order for</t>
  </si>
  <si>
    <t>Party Orders</t>
  </si>
  <si>
    <t>♾️ Unlimited Thali</t>
  </si>
  <si>
    <t>2.4</t>
  </si>
  <si>
    <t>🧀 Cheese Sabzi</t>
  </si>
  <si>
    <t>Manchurian Noodles - Full</t>
  </si>
  <si>
    <t>Catering Orders</t>
  </si>
  <si>
    <t>2.5</t>
  </si>
  <si>
    <t>Bulk Drop Catering</t>
  </si>
  <si>
    <t>Schezwan Noodles - Half</t>
  </si>
  <si>
    <t>Ask our server for the Unlimited Thali experience — 5+ dishes, unlimited refills!</t>
  </si>
  <si>
    <t>12.1</t>
  </si>
  <si>
    <t>Cheese Butter Masala</t>
  </si>
  <si>
    <t>2.6</t>
  </si>
  <si>
    <t>✦ Authentic Taste of Rajasthan ✦</t>
  </si>
  <si>
    <t>Event Catering</t>
  </si>
  <si>
    <t>Schezwan Noodles - Full</t>
  </si>
  <si>
    <t>📞 Order via WhatsApp for special discounts!</t>
  </si>
  <si>
    <t>Corporate Events</t>
  </si>
  <si>
    <t>12.2</t>
  </si>
  <si>
    <t>2.7</t>
  </si>
  <si>
    <t>Singapore Noodles - Half</t>
  </si>
  <si>
    <t>🍹 Happy Hours Dinning discount available till 5:00 PM!</t>
  </si>
  <si>
    <t>Cheese Angoori</t>
  </si>
  <si>
    <t>Page 2 of 9</t>
  </si>
  <si>
    <t>Weddings</t>
  </si>
  <si>
    <t>2.8</t>
  </si>
  <si>
    <t>Singapore Noodles - Full</t>
  </si>
  <si>
    <t>12.3</t>
  </si>
  <si>
    <t>Cheese Kofta</t>
  </si>
  <si>
    <t>2.9</t>
  </si>
  <si>
    <t>Burnt Garlic Noodles - Full</t>
  </si>
  <si>
    <t>🍄 Mushroom &amp; Corn</t>
  </si>
  <si>
    <t>2.10</t>
  </si>
  <si>
    <t>Chilli Garlic Noodles - Full</t>
  </si>
  <si>
    <t>Birthday Parties</t>
  </si>
  <si>
    <t>13.1</t>
  </si>
  <si>
    <t>2.11</t>
  </si>
  <si>
    <t>Mushroom Masala</t>
  </si>
  <si>
    <t>Paneer Noodles - Full</t>
  </si>
  <si>
    <t>Family Functions</t>
  </si>
  <si>
    <t>🥘 Chopsuey &amp; Bhel</t>
  </si>
  <si>
    <t>13.2</t>
  </si>
  <si>
    <t>Baby Corn Masala</t>
  </si>
  <si>
    <t>3.1</t>
  </si>
  <si>
    <t>📞 Book Your Event Today</t>
  </si>
  <si>
    <t>American Chop Suey</t>
  </si>
  <si>
    <t>🫘 Paneer Sabzi</t>
  </si>
  <si>
    <t>4.1</t>
  </si>
  <si>
    <t>Chinese Bhel - Half</t>
  </si>
  <si>
    <t>15.1</t>
  </si>
  <si>
    <t>Established</t>
  </si>
  <si>
    <t>Paneer Butter Masala</t>
  </si>
  <si>
    <t>— Est. 2026 —</t>
  </si>
  <si>
    <t>4.2</t>
  </si>
  <si>
    <t>Chinese Bhel - Full</t>
  </si>
  <si>
    <t>15.2</t>
  </si>
  <si>
    <t>Paneer Tikka Masala</t>
  </si>
  <si>
    <t>Page 1 of 9</t>
  </si>
  <si>
    <t>4.3</t>
  </si>
  <si>
    <t>15.3</t>
  </si>
  <si>
    <t>Paneer Toofani</t>
  </si>
  <si>
    <t>Bombay Bhel - Half</t>
  </si>
  <si>
    <t>15.4</t>
  </si>
  <si>
    <t>4.4</t>
  </si>
  <si>
    <t>Paneer Angara</t>
  </si>
  <si>
    <t>Bombay Bhel - Full</t>
  </si>
  <si>
    <t>15.5</t>
  </si>
  <si>
    <t>4.5</t>
  </si>
  <si>
    <t>Paneer Handi</t>
  </si>
  <si>
    <t>Singapore Bhel - Full</t>
  </si>
  <si>
    <t>15.6</t>
  </si>
  <si>
    <t>Paneer Kadhai</t>
  </si>
  <si>
    <t>🔥 Tandoori Starters</t>
  </si>
  <si>
    <t>15.7</t>
  </si>
  <si>
    <t>Palak Paneer</t>
  </si>
  <si>
    <t>15.8</t>
  </si>
  <si>
    <t>Paneer Bhurji</t>
  </si>
  <si>
    <t>14.1</t>
  </si>
  <si>
    <t>15.9</t>
  </si>
  <si>
    <t>Paneer Tikka Dry</t>
  </si>
  <si>
    <t>Paneer Tawa</t>
  </si>
  <si>
    <t>14.2</t>
  </si>
  <si>
    <t>15.10</t>
  </si>
  <si>
    <t>Hara Bhara Kabab</t>
  </si>
  <si>
    <t>Mahadev Special Paneer</t>
  </si>
  <si>
    <t>14.3</t>
  </si>
  <si>
    <t>🥜 Cashew Special</t>
  </si>
  <si>
    <t>Haryali Tikka Dry</t>
  </si>
  <si>
    <t>✦ Royal Starters ✦</t>
  </si>
  <si>
    <t>16.1</t>
  </si>
  <si>
    <t>Cashew Curry</t>
  </si>
  <si>
    <t>Page 3 of 9</t>
  </si>
  <si>
    <t>16.2</t>
  </si>
  <si>
    <t>Cashew Masala</t>
  </si>
  <si>
    <t>16.3</t>
  </si>
  <si>
    <t>Cashew Handi</t>
  </si>
  <si>
    <t>16.4</t>
  </si>
  <si>
    <t>Khoya Cashew</t>
  </si>
  <si>
    <t>16.5</t>
  </si>
  <si>
    <t>Cashew Kofta</t>
  </si>
  <si>
    <t>✦ Rich &amp; Aromatic ✦</t>
  </si>
  <si>
    <t>Page 4 of 9</t>
  </si>
  <si>
    <t>Dal, Rice &amp; Breads</t>
  </si>
  <si>
    <t>🍛 Dal</t>
  </si>
  <si>
    <t>21.1</t>
  </si>
  <si>
    <t>Dal Tadka (Fried)</t>
  </si>
  <si>
    <t>Pav Bhaji &amp; Rice Bowls</t>
  </si>
  <si>
    <t>21.2</t>
  </si>
  <si>
    <t>Dal Tadka (Tempered)</t>
  </si>
  <si>
    <t>21.3</t>
  </si>
  <si>
    <t>Dal Makhani</t>
  </si>
  <si>
    <t>21.4</t>
  </si>
  <si>
    <t>🍞 Pav Bhaji</t>
  </si>
  <si>
    <t>Dal Khichdi</t>
  </si>
  <si>
    <t>21.5</t>
  </si>
  <si>
    <t>Dal Khichdi Tadka</t>
  </si>
  <si>
    <t>17.1</t>
  </si>
  <si>
    <t>Pav Bhaji (Regular)</t>
  </si>
  <si>
    <t>🍚 Rice</t>
  </si>
  <si>
    <t>17.2</t>
  </si>
  <si>
    <t>22.1</t>
  </si>
  <si>
    <t xml:space="preserve">Pav Bhaji ( Butter ) </t>
  </si>
  <si>
    <t>Steamed Rice</t>
  </si>
  <si>
    <t>17.3</t>
  </si>
  <si>
    <t>22.2</t>
  </si>
  <si>
    <t>Pav Bhaji ( Jain)</t>
  </si>
  <si>
    <t>Jeera Rice</t>
  </si>
  <si>
    <t>17.4</t>
  </si>
  <si>
    <t>22.3</t>
  </si>
  <si>
    <t>Pav Bhaji ( Butter Jain)</t>
  </si>
  <si>
    <t>Veg Biryani</t>
  </si>
  <si>
    <t>22.4</t>
  </si>
  <si>
    <t>Dum Biryani</t>
  </si>
  <si>
    <t>17.5</t>
  </si>
  <si>
    <t>🫓 Indian Breads</t>
  </si>
  <si>
    <t>Paneer Pav Bhaji</t>
  </si>
  <si>
    <t>17.6</t>
  </si>
  <si>
    <t>19.1</t>
  </si>
  <si>
    <t>Hara Pav Bhaji</t>
  </si>
  <si>
    <t>Phulka Roti</t>
  </si>
  <si>
    <t>17.7</t>
  </si>
  <si>
    <t>19.2</t>
  </si>
  <si>
    <t>Cheese Pav Bhaji</t>
  </si>
  <si>
    <t>Roti (Oil)</t>
  </si>
  <si>
    <t>17.8</t>
  </si>
  <si>
    <t>19.3</t>
  </si>
  <si>
    <t>Gotla Pav Bhaji</t>
  </si>
  <si>
    <t>Roti (Butter)</t>
  </si>
  <si>
    <t>17.9</t>
  </si>
  <si>
    <t>19.4</t>
  </si>
  <si>
    <t>Masala Pav</t>
  </si>
  <si>
    <t>Paratha (Oil)</t>
  </si>
  <si>
    <t>19.5</t>
  </si>
  <si>
    <t>17.10</t>
  </si>
  <si>
    <t>Paratha (Butter)</t>
  </si>
  <si>
    <t>Cheese Masala Pav</t>
  </si>
  <si>
    <t>19.6</t>
  </si>
  <si>
    <t>Kulcha (Oil)</t>
  </si>
  <si>
    <t>17.11</t>
  </si>
  <si>
    <t>19.7</t>
  </si>
  <si>
    <t>Extra Pav (Butter)</t>
  </si>
  <si>
    <t>Kulcha (Butter)</t>
  </si>
  <si>
    <t>17.12</t>
  </si>
  <si>
    <t>19.8</t>
  </si>
  <si>
    <t>Extra Pav (Oil)</t>
  </si>
  <si>
    <t>Naan (Oil)</t>
  </si>
  <si>
    <t>17.13</t>
  </si>
  <si>
    <t>19.9</t>
  </si>
  <si>
    <t>Mahadev Special Pav Bhaji</t>
  </si>
  <si>
    <t>Naan (Butter)</t>
  </si>
  <si>
    <t>19.10</t>
  </si>
  <si>
    <t>🍛 Pulao</t>
  </si>
  <si>
    <t>Missi Roti (Butter)</t>
  </si>
  <si>
    <t>19.11</t>
  </si>
  <si>
    <t>18.1</t>
  </si>
  <si>
    <t>Garlic Naan (Butter)</t>
  </si>
  <si>
    <t>Tawa Pulao</t>
  </si>
  <si>
    <t>19.12</t>
  </si>
  <si>
    <t>18.2</t>
  </si>
  <si>
    <t>Cheese Garlic Naan (Butter)</t>
  </si>
  <si>
    <t>Kashmiri Pulao</t>
  </si>
  <si>
    <t>19.13</t>
  </si>
  <si>
    <t>18.3</t>
  </si>
  <si>
    <t>Cheese Naan (Butter)</t>
  </si>
  <si>
    <t>Paneer Pulao</t>
  </si>
  <si>
    <t>18.4</t>
  </si>
  <si>
    <t>Basket Roti (Butter)</t>
  </si>
  <si>
    <t>Cheese Pulao</t>
  </si>
  <si>
    <t>✦ Freshly Prepared ✦</t>
  </si>
  <si>
    <t>🍲 Rice Bowls</t>
  </si>
  <si>
    <t>Page 5 of 9</t>
  </si>
  <si>
    <t>23.1</t>
  </si>
  <si>
    <t>Dosa Varieties</t>
  </si>
  <si>
    <t>Chole Rice</t>
  </si>
  <si>
    <t>23.2</t>
  </si>
  <si>
    <t>Rajma Rice</t>
  </si>
  <si>
    <t>23.3</t>
  </si>
  <si>
    <t>Makhani Rice</t>
  </si>
  <si>
    <t>✦ Street-Style Favorites ✦</t>
  </si>
  <si>
    <t>Page 6 of 9</t>
  </si>
  <si>
    <t>🥞 Classic Dosa</t>
  </si>
  <si>
    <t>7.1</t>
  </si>
  <si>
    <t>Plain Dosa (Oil)</t>
  </si>
  <si>
    <t>Sides &amp; Desserts</t>
  </si>
  <si>
    <t>7.2</t>
  </si>
  <si>
    <t>Baby Dosa (Butter only)</t>
  </si>
  <si>
    <t>7.3</t>
  </si>
  <si>
    <t>Plain Dosa (Butter)</t>
  </si>
  <si>
    <t>7.4</t>
  </si>
  <si>
    <t>🥛 Raita &amp; Lassi</t>
  </si>
  <si>
    <t>Cheese Plain Dosa</t>
  </si>
  <si>
    <t>20.1</t>
  </si>
  <si>
    <t>7.5</t>
  </si>
  <si>
    <t>Veg Raita</t>
  </si>
  <si>
    <t>Masala Dosa (Oil)</t>
  </si>
  <si>
    <t>20.2</t>
  </si>
  <si>
    <t>Boondi Raita</t>
  </si>
  <si>
    <t>7.6</t>
  </si>
  <si>
    <t>Masala Dosa (Butter)</t>
  </si>
  <si>
    <t>Small Lassi Special</t>
  </si>
  <si>
    <t>7.7</t>
  </si>
  <si>
    <t>Mysore Dosa (Oil)</t>
  </si>
  <si>
    <t>20.5</t>
  </si>
  <si>
    <t>Large Lassi Special</t>
  </si>
  <si>
    <t>7.8</t>
  </si>
  <si>
    <t>Mysore Dosa (Butter)</t>
  </si>
  <si>
    <t>🍰 Desserts</t>
  </si>
  <si>
    <t>7.9</t>
  </si>
  <si>
    <t>Cheese Paneer Surma</t>
  </si>
  <si>
    <t>20.3</t>
  </si>
  <si>
    <t>Fruit Cream</t>
  </si>
  <si>
    <t>7.10</t>
  </si>
  <si>
    <t>Cheese Paneer Tadka</t>
  </si>
  <si>
    <t>★ Ask about our daily special sweets ★</t>
  </si>
  <si>
    <t>✦ Sweet Endings ✦</t>
  </si>
  <si>
    <t>7.11</t>
  </si>
  <si>
    <t>Gotla Dosa</t>
  </si>
  <si>
    <t>Page 8 of 9</t>
  </si>
  <si>
    <t>7.12</t>
  </si>
  <si>
    <t>Paneer Mysore Dosa</t>
  </si>
  <si>
    <t>7.13</t>
  </si>
  <si>
    <t>Cheese Mysore Dosa</t>
  </si>
  <si>
    <t>7.14</t>
  </si>
  <si>
    <t>Hara Hyderabadi Dosa</t>
  </si>
  <si>
    <t>7.15</t>
  </si>
  <si>
    <t>Mahadev Special Dosa</t>
  </si>
  <si>
    <t>✨ Fancy Dosa</t>
  </si>
  <si>
    <t>8.1</t>
  </si>
  <si>
    <t>Jeeni Roll</t>
  </si>
  <si>
    <t>8.2</t>
  </si>
  <si>
    <t>Cheese Masala</t>
  </si>
  <si>
    <t>8.3</t>
  </si>
  <si>
    <t>Palak Masala</t>
  </si>
  <si>
    <t>8.4</t>
  </si>
  <si>
    <t>Paneer Chilli Dosa</t>
  </si>
  <si>
    <t>8.5</t>
  </si>
  <si>
    <t>Paneer Chilli Cheese Dosa</t>
  </si>
  <si>
    <t>🇨🇳 Chinese Dosa</t>
  </si>
  <si>
    <t>9.1</t>
  </si>
  <si>
    <t>Chinese Dosa</t>
  </si>
  <si>
    <t>9.2</t>
  </si>
  <si>
    <t>Chinese Cheese Dosa</t>
  </si>
  <si>
    <t>9.3</t>
  </si>
  <si>
    <t>Palak Paneer Dosa</t>
  </si>
  <si>
    <t>9.4</t>
  </si>
  <si>
    <t>Palak Paneer Cheese Dosa</t>
  </si>
  <si>
    <t>9.5</t>
  </si>
  <si>
    <t>Schezwan Dosa</t>
  </si>
  <si>
    <t>9.6</t>
  </si>
  <si>
    <t>Dilkhush Dosa</t>
  </si>
  <si>
    <t>MAHADEV</t>
  </si>
  <si>
    <t>9.7</t>
  </si>
  <si>
    <t>Rajrani Dosa</t>
  </si>
  <si>
    <t>9.8</t>
  </si>
  <si>
    <t>✦ Royal Dining ✦</t>
  </si>
  <si>
    <t>Tikhari Dosa Gravy</t>
  </si>
  <si>
    <t>⏳ Time-Pass Dosa</t>
  </si>
  <si>
    <t>📍 Near City Palace, Jaipur, Rajasthan - 302001</t>
  </si>
  <si>
    <t>📞 +91-98765-43210</t>
  </si>
  <si>
    <t>10.1</t>
  </si>
  <si>
    <t>Jeera Nylon</t>
  </si>
  <si>
    <t>10.2</t>
  </si>
  <si>
    <t>🌐 www.mahadevrestaurant.com</t>
  </si>
  <si>
    <t>Cheese Nylon</t>
  </si>
  <si>
    <t>Facebook</t>
  </si>
  <si>
    <t>10.3</t>
  </si>
  <si>
    <t>Paneer Nylon</t>
  </si>
  <si>
    <t>#</t>
  </si>
  <si>
    <t>10.4</t>
  </si>
  <si>
    <t>Nylon</t>
  </si>
  <si>
    <t>10.5</t>
  </si>
  <si>
    <t>Garlic Nylon</t>
  </si>
  <si>
    <t>WhatsApp</t>
  </si>
  <si>
    <t>10.6</t>
  </si>
  <si>
    <t>https://wa.me/919876543210?text=Hello%20Mahadev!</t>
  </si>
  <si>
    <t>Onion Dosa</t>
  </si>
  <si>
    <t>Delivery</t>
  </si>
  <si>
    <t>10.7</t>
  </si>
  <si>
    <t>🍔 Swiggy - #</t>
  </si>
  <si>
    <t>Cheese Garlic Nylon</t>
  </si>
  <si>
    <t>🍕 Zomato - #</t>
  </si>
  <si>
    <t>✦ Crispy &amp; Golden ✦</t>
  </si>
  <si>
    <t>QR Code</t>
  </si>
  <si>
    <t>📱 Google Review</t>
  </si>
  <si>
    <t>📱 Instagram</t>
  </si>
  <si>
    <t>Page 7 of 9</t>
  </si>
  <si>
    <t>Note</t>
  </si>
  <si>
    <t>Follow us for offers &amp; updates</t>
  </si>
  <si>
    <t>— पधारो सा —</t>
  </si>
  <si>
    <t>Page 9 of 9</t>
  </si>
  <si>
    <t>ZOP</t>
  </si>
  <si>
    <t xml:space="preserve">Zop </t>
  </si>
  <si>
    <t xml:space="preserve">Serving Qty </t>
  </si>
  <si>
    <t xml:space="preserve">Container Qty </t>
  </si>
  <si>
    <t xml:space="preserve">Price </t>
  </si>
  <si>
    <t xml:space="preserve">Serving </t>
  </si>
  <si>
    <t xml:space="preserve">Containers , Gms , Qty </t>
  </si>
  <si>
    <t xml:space="preserve">Gms , Piece, Qty </t>
  </si>
  <si>
    <t xml:space="preserve">Gms , Qty , Complimentary </t>
  </si>
  <si>
    <t>Parcel Pack Upto 4 Km</t>
  </si>
  <si>
    <t>Container</t>
  </si>
  <si>
    <t xml:space="preserve">Gm, Qty, Complimentary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</si>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</sst>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Calibri"/>
      <scheme val="minor"/>
    </font>
    <font>
      <b/>
      <sz val="22"/>
      <color rgb="FF4A0E17"/>
      <name val="Arial"/>
    </font>
    <font>
      <b/>
      <sz val="16"/>
      <color rgb="FFFFFFFF"/>
      <name val="Arial"/>
    </font>
    <font>
      <sz val="12"/>
      <color rgb="FF8B0000"/>
      <name val="Arial"/>
    </font>
    <font>
      <sz val="11"/>
      <name val="Calibri"/>
    </font>
    <font>
      <i/>
      <sz val="11"/>
      <color rgb="FF3B2C20"/>
      <name val="Arial"/>
    </font>
    <font>
      <b/>
      <sz val="11"/>
      <color rgb="FFFFFFFF"/>
      <name val="Arial"/>
    </font>
    <font>
      <b/>
      <sz val="10"/>
      <color rgb="FF4A0E17"/>
      <name val="Arial"/>
    </font>
    <font>
      <sz val="10"/>
      <color theme="1"/>
      <name val="Arial"/>
    </font>
    <font>
      <b/>
      <sz val="11"/>
      <color rgb="FF8B0000"/>
      <name val="Arial"/>
    </font>
    <font>
      <b/>
      <sz val="10"/>
      <color rgb="FF8B0000"/>
      <name val="Arial"/>
    </font>
    <font>
      <i/>
      <sz val="10"/>
      <color rgb="FF808080"/>
      <name val="Arial"/>
    </font>
    <font>
      <u/>
      <sz val="11"/>
      <color theme="10"/>
      <name val="Calibri"/>
    </font>
    <font>
      <i/>
      <sz val="10"/>
      <color rgb="FF8B0000"/>
      <name val="Arial"/>
    </font>
    <font>
      <i/>
      <sz val="9"/>
      <color rgb="FF8B0000"/>
      <name val="Arial"/>
    </font>
    <font>
      <sz val="11"/>
      <color theme="1"/>
      <name val="Calibri"/>
      <scheme val="minor"/>
    </font>
    <font>
      <b/>
      <sz val="20"/>
      <color rgb="FF4A0E17"/>
      <name val="Arial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i/>
      <sz val="11"/>
      <color rgb="FF8B0000"/>
      <name val="Arial"/>
      <family val="2"/>
    </font>
    <font>
      <b/>
      <sz val="11"/>
      <color rgb="FFFFFFFF"/>
      <name val="Arial"/>
      <family val="2"/>
    </font>
    <font>
      <b/>
      <sz val="11"/>
      <color rgb="FF8B0000"/>
      <name val="Arial"/>
      <family val="2"/>
    </font>
    <font>
      <b/>
      <sz val="11"/>
      <name val="Calibri"/>
      <family val="2"/>
    </font>
    <font>
      <b/>
      <sz val="10"/>
      <color rgb="FF8B0000"/>
      <name val="Arial"/>
      <family val="2"/>
    </font>
    <font>
      <b/>
      <sz val="10"/>
      <color theme="1"/>
      <name val="Arial"/>
      <family val="2"/>
    </font>
    <font>
      <b/>
      <i/>
      <sz val="10"/>
      <color rgb="FF808080"/>
      <name val="Arial"/>
      <family val="2"/>
    </font>
    <font>
      <b/>
      <i/>
      <sz val="9"/>
      <color rgb="FF8B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A0E17"/>
        <bgColor rgb="FF4A0E17"/>
      </patternFill>
    </fill>
    <fill>
      <patternFill patternType="solid">
        <fgColor rgb="FFF5E6CA"/>
        <bgColor rgb="FFF5E6CA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  <border>
      <left style="thin">
        <color rgb="FFD4AF37"/>
      </left>
      <right/>
      <top style="thin">
        <color rgb="FFD4AF37"/>
      </top>
      <bottom style="thin">
        <color rgb="FFD4AF37"/>
      </bottom>
      <diagonal/>
    </border>
    <border>
      <left/>
      <right/>
      <top style="thin">
        <color rgb="FFD4AF37"/>
      </top>
      <bottom style="thin">
        <color rgb="FFD4AF37"/>
      </bottom>
      <diagonal/>
    </border>
    <border>
      <left/>
      <right style="thin">
        <color rgb="FFD4AF37"/>
      </right>
      <top style="thin">
        <color rgb="FFD4AF37"/>
      </top>
      <bottom style="thin">
        <color rgb="FFD4AF37"/>
      </bottom>
      <diagonal/>
    </border>
    <border>
      <left style="thin">
        <color rgb="FFD4AF37"/>
      </left>
      <right style="thin">
        <color rgb="FFD4AF3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4AF37"/>
      </left>
      <right style="thin">
        <color rgb="FFD4AF37"/>
      </right>
      <top/>
      <bottom style="thin">
        <color rgb="FFD4AF3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 vertical="center"/>
    </xf>
    <xf numFmtId="0" fontId="1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8" fillId="0" borderId="0" xfId="0" applyFont="1"/>
    <xf numFmtId="0" fontId="6" fillId="2" borderId="8" xfId="0" applyFont="1" applyFill="1" applyBorder="1" applyAlignment="1">
      <alignment horizontal="center" vertical="center" wrapText="1"/>
    </xf>
    <xf numFmtId="2" fontId="0" fillId="0" borderId="0" xfId="0" applyNumberFormat="1" applyFont="1" applyAlignment="1"/>
    <xf numFmtId="0" fontId="0" fillId="0" borderId="0" xfId="0" applyFont="1" applyAlignment="1"/>
    <xf numFmtId="0" fontId="4" fillId="0" borderId="3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9" fillId="3" borderId="5" xfId="0" applyFont="1" applyFill="1" applyBorder="1" applyAlignment="1">
      <alignment horizontal="left" vertical="center" wrapText="1"/>
    </xf>
    <xf numFmtId="0" fontId="4" fillId="0" borderId="6" xfId="0" applyFont="1" applyBorder="1"/>
    <xf numFmtId="0" fontId="4" fillId="0" borderId="7" xfId="0" applyFont="1" applyBorder="1"/>
    <xf numFmtId="0" fontId="1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0" fillId="0" borderId="3" xfId="0" applyFont="1" applyBorder="1" applyAlignment="1"/>
    <xf numFmtId="0" fontId="18" fillId="2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7" fillId="0" borderId="9" xfId="0" applyFont="1" applyBorder="1" applyAlignment="1"/>
    <xf numFmtId="0" fontId="17" fillId="0" borderId="9" xfId="0" applyFont="1" applyBorder="1" applyAlignment="1"/>
    <xf numFmtId="0" fontId="20" fillId="2" borderId="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right" vertical="center"/>
    </xf>
    <xf numFmtId="1" fontId="17" fillId="0" borderId="9" xfId="0" applyNumberFormat="1" applyFont="1" applyBorder="1" applyAlignment="1"/>
    <xf numFmtId="0" fontId="22" fillId="0" borderId="9" xfId="0" applyFont="1" applyBorder="1" applyAlignment="1"/>
    <xf numFmtId="0" fontId="21" fillId="3" borderId="9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22" fillId="0" borderId="9" xfId="0" applyFont="1" applyBorder="1"/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17" fillId="0" borderId="0" xfId="0" applyFont="1" applyAlignment="1"/>
    <xf numFmtId="10" fontId="1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mahadevrestuaran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B1"/>
    </sheetView>
  </sheetViews>
  <sheetFormatPr defaultColWidth="14.42578125" defaultRowHeight="15" customHeight="1"/>
  <cols>
    <col min="1" max="1" width="26" customWidth="1"/>
    <col min="2" max="2" width="60" customWidth="1"/>
    <col min="3" max="26" width="8.7109375" customWidth="1"/>
  </cols>
  <sheetData>
    <row r="1" spans="1:2">
      <c r="A1" s="18" t="s">
        <v>0</v>
      </c>
      <c r="B1" s="19"/>
    </row>
    <row r="2" spans="1:2">
      <c r="A2" s="20" t="s">
        <v>3</v>
      </c>
      <c r="B2" s="19"/>
    </row>
    <row r="3" spans="1:2">
      <c r="A3" s="21" t="s">
        <v>5</v>
      </c>
      <c r="B3" s="19"/>
    </row>
    <row r="5" spans="1:2">
      <c r="A5" s="2" t="s">
        <v>8</v>
      </c>
      <c r="B5" s="3" t="s">
        <v>11</v>
      </c>
    </row>
    <row r="6" spans="1:2">
      <c r="A6" s="2"/>
      <c r="B6" s="3"/>
    </row>
    <row r="7" spans="1:2">
      <c r="A7" s="2" t="s">
        <v>15</v>
      </c>
      <c r="B7" s="3" t="s">
        <v>16</v>
      </c>
    </row>
    <row r="8" spans="1:2">
      <c r="A8" s="2" t="s">
        <v>17</v>
      </c>
      <c r="B8" s="3" t="s">
        <v>21</v>
      </c>
    </row>
    <row r="9" spans="1:2">
      <c r="A9" s="2" t="s">
        <v>25</v>
      </c>
      <c r="B9" s="3" t="s">
        <v>26</v>
      </c>
    </row>
    <row r="10" spans="1:2">
      <c r="A10" s="2" t="s">
        <v>31</v>
      </c>
      <c r="B10" s="6" t="s">
        <v>33</v>
      </c>
    </row>
    <row r="11" spans="1:2">
      <c r="A11" s="2" t="s">
        <v>56</v>
      </c>
      <c r="B11" s="3" t="s">
        <v>58</v>
      </c>
    </row>
    <row r="12" spans="1:2">
      <c r="A12" s="9" t="s">
        <v>61</v>
      </c>
      <c r="B12" s="10" t="s">
        <v>63</v>
      </c>
    </row>
    <row r="13" spans="1:2">
      <c r="A13" s="2"/>
      <c r="B13" s="10" t="s">
        <v>68</v>
      </c>
    </row>
    <row r="14" spans="1:2">
      <c r="A14" s="9" t="s">
        <v>69</v>
      </c>
      <c r="B14" s="10" t="s">
        <v>72</v>
      </c>
    </row>
    <row r="15" spans="1:2">
      <c r="A15" s="2"/>
      <c r="B15" s="3"/>
    </row>
    <row r="16" spans="1:2">
      <c r="A16" s="2" t="s">
        <v>79</v>
      </c>
      <c r="B16" s="3" t="s">
        <v>80</v>
      </c>
    </row>
    <row r="17" spans="1:3">
      <c r="A17" s="2"/>
      <c r="B17" s="3" t="s">
        <v>85</v>
      </c>
    </row>
    <row r="18" spans="1:3">
      <c r="A18" s="2"/>
      <c r="B18" s="3" t="s">
        <v>87</v>
      </c>
    </row>
    <row r="19" spans="1:3">
      <c r="A19" s="2"/>
      <c r="B19" s="3" t="s">
        <v>94</v>
      </c>
    </row>
    <row r="20" spans="1:3">
      <c r="A20" s="2"/>
      <c r="B20" s="3" t="s">
        <v>97</v>
      </c>
    </row>
    <row r="21" spans="1:3" ht="15.75" customHeight="1">
      <c r="A21" s="2"/>
      <c r="B21" s="3" t="s">
        <v>104</v>
      </c>
    </row>
    <row r="22" spans="1:3" ht="15.75" customHeight="1">
      <c r="A22" s="2"/>
      <c r="B22" s="3" t="s">
        <v>114</v>
      </c>
    </row>
    <row r="23" spans="1:3" ht="15.75" customHeight="1">
      <c r="A23" s="2"/>
      <c r="B23" s="3" t="s">
        <v>119</v>
      </c>
    </row>
    <row r="24" spans="1:3" ht="15.75" customHeight="1">
      <c r="A24" s="2"/>
      <c r="B24" s="3"/>
    </row>
    <row r="25" spans="1:3" ht="15.75" customHeight="1">
      <c r="A25" s="2"/>
      <c r="B25" s="3" t="s">
        <v>124</v>
      </c>
    </row>
    <row r="26" spans="1:3" ht="15.75" customHeight="1">
      <c r="A26" s="2"/>
      <c r="B26" s="3"/>
    </row>
    <row r="27" spans="1:3" ht="15.75" customHeight="1">
      <c r="A27" s="2"/>
      <c r="B27" s="3"/>
    </row>
    <row r="28" spans="1:3" ht="15.75" customHeight="1">
      <c r="A28" s="2" t="s">
        <v>130</v>
      </c>
      <c r="B28" s="3" t="s">
        <v>132</v>
      </c>
    </row>
    <row r="29" spans="1:3" ht="15.75" customHeight="1"/>
    <row r="30" spans="1:3" ht="15.75" customHeight="1">
      <c r="A30" s="11"/>
    </row>
    <row r="31" spans="1:3" ht="15.75" customHeight="1">
      <c r="A31" s="22" t="s">
        <v>96</v>
      </c>
      <c r="B31" s="19"/>
      <c r="C31" s="19"/>
    </row>
    <row r="32" spans="1:3" ht="15.75" customHeight="1">
      <c r="A32" s="22" t="s">
        <v>101</v>
      </c>
      <c r="B32" s="19"/>
      <c r="C32" s="19"/>
    </row>
    <row r="33" spans="1:1" ht="15.75" customHeight="1">
      <c r="A33" s="11" t="s">
        <v>137</v>
      </c>
    </row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B2"/>
    <mergeCell ref="A3:B3"/>
    <mergeCell ref="A31:C31"/>
    <mergeCell ref="A32:C32"/>
  </mergeCells>
  <hyperlinks>
    <hyperlink ref="B10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175" zoomScaleNormal="175" workbookViewId="0">
      <pane ySplit="4" topLeftCell="A5" activePane="bottomLeft" state="frozen"/>
      <selection pane="bottomLeft" activeCell="D4" sqref="D4:E4"/>
    </sheetView>
  </sheetViews>
  <sheetFormatPr defaultColWidth="14.42578125" defaultRowHeight="15"/>
  <cols>
    <col min="1" max="1" width="10.42578125" bestFit="1" customWidth="1"/>
    <col min="2" max="2" width="48" customWidth="1"/>
    <col min="3" max="3" width="21.42578125" style="16" bestFit="1" customWidth="1"/>
    <col min="4" max="4" width="14" customWidth="1"/>
    <col min="5" max="5" width="16" style="16" bestFit="1" customWidth="1"/>
    <col min="6" max="6" width="8.7109375" customWidth="1"/>
    <col min="7" max="7" width="25.7109375" bestFit="1" customWidth="1"/>
    <col min="8" max="27" width="8.7109375" customWidth="1"/>
  </cols>
  <sheetData>
    <row r="1" spans="1:7" ht="20.25">
      <c r="A1" s="35" t="s">
        <v>1</v>
      </c>
      <c r="B1" s="35"/>
      <c r="C1" s="35"/>
      <c r="D1" s="35"/>
      <c r="E1" s="35"/>
      <c r="F1" s="35"/>
      <c r="G1" s="35"/>
    </row>
    <row r="2" spans="1:7">
      <c r="A2" s="36" t="s">
        <v>6</v>
      </c>
      <c r="B2" s="37"/>
      <c r="C2" s="37"/>
      <c r="D2" s="37"/>
      <c r="E2" s="38"/>
      <c r="F2" s="38"/>
      <c r="G2" s="38"/>
    </row>
    <row r="3" spans="1:7" ht="30">
      <c r="A3" s="39" t="s">
        <v>7</v>
      </c>
      <c r="B3" s="39" t="s">
        <v>9</v>
      </c>
      <c r="C3" s="39" t="s">
        <v>399</v>
      </c>
      <c r="D3" s="39" t="s">
        <v>10</v>
      </c>
      <c r="E3" s="39" t="s">
        <v>392</v>
      </c>
      <c r="F3" s="39" t="s">
        <v>391</v>
      </c>
      <c r="G3" s="39" t="s">
        <v>393</v>
      </c>
    </row>
    <row r="4" spans="1:7" ht="15" customHeight="1">
      <c r="A4" s="46" t="s">
        <v>14</v>
      </c>
      <c r="B4" s="47"/>
      <c r="C4" s="44" t="s">
        <v>396</v>
      </c>
      <c r="D4" s="44" t="s">
        <v>395</v>
      </c>
      <c r="E4" s="38" t="s">
        <v>397</v>
      </c>
      <c r="F4" s="38" t="s">
        <v>394</v>
      </c>
      <c r="G4" s="38" t="s">
        <v>398</v>
      </c>
    </row>
    <row r="5" spans="1:7">
      <c r="A5" s="40" t="s">
        <v>18</v>
      </c>
      <c r="B5" s="41" t="s">
        <v>22</v>
      </c>
      <c r="C5" s="41"/>
      <c r="D5" s="42">
        <v>130</v>
      </c>
      <c r="E5" s="42"/>
      <c r="F5" s="43">
        <f>(D5*33/67)+D5</f>
        <v>194.02985074626866</v>
      </c>
      <c r="G5" s="38"/>
    </row>
    <row r="6" spans="1:7">
      <c r="A6" s="40" t="s">
        <v>27</v>
      </c>
      <c r="B6" s="41" t="s">
        <v>29</v>
      </c>
      <c r="C6" s="41"/>
      <c r="D6" s="42">
        <v>165</v>
      </c>
      <c r="E6" s="42"/>
      <c r="F6" s="43">
        <f t="shared" ref="F6:F10" si="0">(D6*33/67)+D6</f>
        <v>246.26865671641792</v>
      </c>
      <c r="G6" s="38"/>
    </row>
    <row r="7" spans="1:7" ht="38.25">
      <c r="A7" s="40" t="s">
        <v>35</v>
      </c>
      <c r="B7" s="41" t="s">
        <v>36</v>
      </c>
      <c r="C7" s="41"/>
      <c r="D7" s="42">
        <v>265</v>
      </c>
      <c r="E7" s="42"/>
      <c r="F7" s="43">
        <f t="shared" si="0"/>
        <v>395.52238805970148</v>
      </c>
      <c r="G7" s="38"/>
    </row>
    <row r="8" spans="1:7">
      <c r="A8" s="40" t="s">
        <v>39</v>
      </c>
      <c r="B8" s="41" t="s">
        <v>42</v>
      </c>
      <c r="C8" s="41"/>
      <c r="D8" s="42">
        <v>170</v>
      </c>
      <c r="E8" s="42"/>
      <c r="F8" s="43">
        <f t="shared" si="0"/>
        <v>253.73134328358208</v>
      </c>
      <c r="G8" s="38"/>
    </row>
    <row r="9" spans="1:7" ht="25.5">
      <c r="A9" s="40" t="s">
        <v>44</v>
      </c>
      <c r="B9" s="41" t="s">
        <v>46</v>
      </c>
      <c r="C9" s="41"/>
      <c r="D9" s="42">
        <v>190</v>
      </c>
      <c r="E9" s="42"/>
      <c r="F9" s="43">
        <f t="shared" si="0"/>
        <v>283.58208955223881</v>
      </c>
      <c r="G9" s="38"/>
    </row>
    <row r="10" spans="1:7" ht="38.25">
      <c r="A10" s="40" t="s">
        <v>49</v>
      </c>
      <c r="B10" s="41" t="s">
        <v>50</v>
      </c>
      <c r="C10" s="41"/>
      <c r="D10" s="42">
        <v>260</v>
      </c>
      <c r="E10" s="42"/>
      <c r="F10" s="43">
        <f t="shared" si="0"/>
        <v>388.05970149253733</v>
      </c>
      <c r="G10" s="38"/>
    </row>
    <row r="11" spans="1:7">
      <c r="A11" s="40"/>
      <c r="B11" s="41"/>
      <c r="C11" s="41"/>
      <c r="D11" s="42"/>
      <c r="E11" s="42"/>
      <c r="F11" s="38"/>
      <c r="G11" s="38"/>
    </row>
    <row r="12" spans="1:7">
      <c r="A12" s="32"/>
      <c r="B12" s="33"/>
      <c r="C12" s="33"/>
      <c r="D12" s="31"/>
      <c r="E12" s="31"/>
      <c r="F12" s="34"/>
      <c r="G12" s="34"/>
    </row>
    <row r="13" spans="1:7">
      <c r="A13" s="4"/>
      <c r="B13" s="7"/>
      <c r="C13" s="7"/>
      <c r="D13" s="8"/>
      <c r="E13" s="8"/>
    </row>
    <row r="14" spans="1:7">
      <c r="A14" s="4"/>
      <c r="B14" s="7"/>
      <c r="C14" s="7"/>
      <c r="D14" s="8"/>
      <c r="E14" s="8"/>
    </row>
    <row r="15" spans="1:7">
      <c r="A15" s="4"/>
      <c r="B15" s="7"/>
      <c r="C15" s="7"/>
      <c r="D15" s="8"/>
      <c r="E15" s="8"/>
    </row>
    <row r="16" spans="1:7">
      <c r="A16" s="4"/>
      <c r="B16" s="7"/>
      <c r="C16" s="7"/>
      <c r="D16" s="8"/>
      <c r="E16" s="8"/>
    </row>
    <row r="17" spans="1:5">
      <c r="A17" s="4"/>
      <c r="B17" s="7"/>
      <c r="C17" s="7"/>
      <c r="D17" s="8"/>
      <c r="E17" s="8"/>
    </row>
    <row r="18" spans="1:5">
      <c r="A18" s="26" t="s">
        <v>81</v>
      </c>
      <c r="B18" s="27"/>
      <c r="C18" s="27"/>
      <c r="D18" s="28"/>
      <c r="E18" s="17"/>
    </row>
    <row r="19" spans="1:5">
      <c r="A19" s="29" t="s">
        <v>89</v>
      </c>
      <c r="B19" s="19"/>
      <c r="C19" s="19"/>
      <c r="D19" s="19"/>
    </row>
    <row r="21" spans="1:5">
      <c r="A21" s="22" t="s">
        <v>93</v>
      </c>
      <c r="B21" s="19"/>
      <c r="C21" s="19"/>
      <c r="D21" s="19"/>
    </row>
    <row r="22" spans="1:5">
      <c r="A22" s="22" t="s">
        <v>96</v>
      </c>
      <c r="B22" s="19"/>
      <c r="C22" s="19"/>
      <c r="D22" s="19"/>
    </row>
    <row r="23" spans="1:5">
      <c r="A23" s="22" t="s">
        <v>101</v>
      </c>
      <c r="B23" s="19"/>
      <c r="C23" s="19"/>
      <c r="D23" s="19"/>
    </row>
    <row r="24" spans="1:5">
      <c r="A24" s="11" t="s">
        <v>103</v>
      </c>
    </row>
  </sheetData>
  <mergeCells count="8">
    <mergeCell ref="A21:D21"/>
    <mergeCell ref="A22:D22"/>
    <mergeCell ref="A23:D23"/>
    <mergeCell ref="A2:D2"/>
    <mergeCell ref="A18:D18"/>
    <mergeCell ref="A19:D19"/>
    <mergeCell ref="A1:G1"/>
    <mergeCell ref="A4:B4"/>
  </mergeCell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zoomScale="115" zoomScaleNormal="115" workbookViewId="0">
      <pane ySplit="3" topLeftCell="A4" activePane="bottomLeft" state="frozen"/>
      <selection pane="bottomLeft" activeCell="H4" sqref="H4"/>
    </sheetView>
  </sheetViews>
  <sheetFormatPr defaultColWidth="14.42578125" defaultRowHeight="15" customHeight="1"/>
  <cols>
    <col min="1" max="1" width="10.5703125" style="48" bestFit="1" customWidth="1"/>
    <col min="2" max="2" width="25.28515625" style="48" bestFit="1" customWidth="1"/>
    <col min="3" max="3" width="24.28515625" style="48" bestFit="1" customWidth="1"/>
    <col min="4" max="4" width="8.28515625" style="48" bestFit="1" customWidth="1"/>
    <col min="5" max="5" width="16" style="48" bestFit="1" customWidth="1"/>
    <col min="6" max="6" width="5.42578125" style="48" bestFit="1" customWidth="1"/>
    <col min="7" max="7" width="23.85546875" style="48" bestFit="1" customWidth="1"/>
    <col min="8" max="8" width="11.140625" style="48" bestFit="1" customWidth="1"/>
    <col min="9" max="26" width="8.7109375" style="48" customWidth="1"/>
    <col min="27" max="16384" width="14.42578125" style="48"/>
  </cols>
  <sheetData>
    <row r="1" spans="1:8" ht="25.5" customHeight="1">
      <c r="A1" s="35" t="s">
        <v>2</v>
      </c>
      <c r="B1" s="35"/>
      <c r="C1" s="35"/>
      <c r="D1" s="35"/>
      <c r="E1" s="35"/>
      <c r="F1" s="35"/>
      <c r="G1" s="35"/>
    </row>
    <row r="2" spans="1:8">
      <c r="A2" s="39" t="s">
        <v>7</v>
      </c>
      <c r="B2" s="39" t="s">
        <v>9</v>
      </c>
      <c r="C2" s="39" t="s">
        <v>399</v>
      </c>
      <c r="D2" s="39" t="s">
        <v>10</v>
      </c>
      <c r="E2" s="39" t="s">
        <v>395</v>
      </c>
      <c r="F2" s="39" t="s">
        <v>390</v>
      </c>
      <c r="G2" s="39" t="s">
        <v>400</v>
      </c>
    </row>
    <row r="3" spans="1:8" ht="15" customHeight="1">
      <c r="A3" s="45" t="s">
        <v>12</v>
      </c>
      <c r="B3" s="45"/>
      <c r="C3" s="44" t="s">
        <v>396</v>
      </c>
      <c r="D3" s="44" t="s">
        <v>395</v>
      </c>
      <c r="E3" s="38" t="s">
        <v>397</v>
      </c>
      <c r="F3" s="38" t="s">
        <v>402</v>
      </c>
      <c r="G3" s="38" t="s">
        <v>401</v>
      </c>
    </row>
    <row r="4" spans="1:8">
      <c r="A4" s="40" t="s">
        <v>19</v>
      </c>
      <c r="B4" s="41" t="s">
        <v>23</v>
      </c>
      <c r="C4" s="41"/>
      <c r="D4" s="42">
        <v>70</v>
      </c>
      <c r="E4" s="42"/>
      <c r="F4" s="43">
        <f>(D4*33/67)+D4</f>
        <v>104.47761194029852</v>
      </c>
      <c r="G4" s="38"/>
      <c r="H4" s="53"/>
    </row>
    <row r="5" spans="1:8">
      <c r="A5" s="40" t="s">
        <v>28</v>
      </c>
      <c r="B5" s="41" t="s">
        <v>32</v>
      </c>
      <c r="C5" s="41"/>
      <c r="D5" s="42">
        <v>90</v>
      </c>
      <c r="E5" s="42"/>
      <c r="F5" s="43">
        <f t="shared" ref="F5:F31" si="0">(D5*33/67)+D5</f>
        <v>134.32835820895522</v>
      </c>
      <c r="G5" s="38"/>
    </row>
    <row r="6" spans="1:8">
      <c r="A6" s="40" t="s">
        <v>37</v>
      </c>
      <c r="B6" s="41" t="s">
        <v>40</v>
      </c>
      <c r="C6" s="41"/>
      <c r="D6" s="42">
        <v>100</v>
      </c>
      <c r="E6" s="42"/>
      <c r="F6" s="43">
        <f t="shared" si="0"/>
        <v>149.25373134328359</v>
      </c>
      <c r="G6" s="38"/>
    </row>
    <row r="7" spans="1:8">
      <c r="A7" s="40" t="s">
        <v>43</v>
      </c>
      <c r="B7" s="41" t="s">
        <v>47</v>
      </c>
      <c r="C7" s="41"/>
      <c r="D7" s="42">
        <v>100</v>
      </c>
      <c r="E7" s="42"/>
      <c r="F7" s="43">
        <f t="shared" si="0"/>
        <v>149.25373134328359</v>
      </c>
      <c r="G7" s="38"/>
    </row>
    <row r="8" spans="1:8">
      <c r="A8" s="40" t="s">
        <v>52</v>
      </c>
      <c r="B8" s="41" t="s">
        <v>54</v>
      </c>
      <c r="C8" s="41"/>
      <c r="D8" s="42">
        <v>120</v>
      </c>
      <c r="E8" s="42"/>
      <c r="F8" s="43">
        <f t="shared" si="0"/>
        <v>179.1044776119403</v>
      </c>
      <c r="G8" s="38"/>
    </row>
    <row r="9" spans="1:8" ht="15" customHeight="1">
      <c r="A9" s="46" t="s">
        <v>59</v>
      </c>
      <c r="B9" s="47"/>
      <c r="C9" s="44"/>
      <c r="D9" s="44"/>
      <c r="E9" s="49"/>
      <c r="F9" s="43"/>
      <c r="G9" s="38"/>
    </row>
    <row r="10" spans="1:8">
      <c r="A10" s="40" t="s">
        <v>64</v>
      </c>
      <c r="B10" s="41" t="s">
        <v>67</v>
      </c>
      <c r="C10" s="41"/>
      <c r="D10" s="42">
        <v>90</v>
      </c>
      <c r="E10" s="42"/>
      <c r="F10" s="43">
        <f t="shared" si="0"/>
        <v>134.32835820895522</v>
      </c>
      <c r="G10" s="38"/>
    </row>
    <row r="11" spans="1:8">
      <c r="A11" s="40" t="s">
        <v>71</v>
      </c>
      <c r="B11" s="41" t="s">
        <v>73</v>
      </c>
      <c r="C11" s="41"/>
      <c r="D11" s="42">
        <v>120</v>
      </c>
      <c r="E11" s="42"/>
      <c r="F11" s="43">
        <f t="shared" si="0"/>
        <v>179.1044776119403</v>
      </c>
      <c r="G11" s="38"/>
    </row>
    <row r="12" spans="1:8">
      <c r="A12" s="40" t="s">
        <v>75</v>
      </c>
      <c r="B12" s="41" t="s">
        <v>77</v>
      </c>
      <c r="C12" s="41"/>
      <c r="D12" s="42">
        <v>90</v>
      </c>
      <c r="E12" s="42"/>
      <c r="F12" s="43">
        <f t="shared" si="0"/>
        <v>134.32835820895522</v>
      </c>
      <c r="G12" s="38"/>
    </row>
    <row r="13" spans="1:8">
      <c r="A13" s="40" t="s">
        <v>82</v>
      </c>
      <c r="B13" s="41" t="s">
        <v>84</v>
      </c>
      <c r="C13" s="41"/>
      <c r="D13" s="42">
        <v>130</v>
      </c>
      <c r="E13" s="42"/>
      <c r="F13" s="43">
        <f t="shared" si="0"/>
        <v>194.02985074626866</v>
      </c>
      <c r="G13" s="38"/>
    </row>
    <row r="14" spans="1:8">
      <c r="A14" s="40" t="s">
        <v>86</v>
      </c>
      <c r="B14" s="41" t="s">
        <v>88</v>
      </c>
      <c r="C14" s="41"/>
      <c r="D14" s="42">
        <v>100</v>
      </c>
      <c r="E14" s="42"/>
      <c r="F14" s="43">
        <f t="shared" si="0"/>
        <v>149.25373134328359</v>
      </c>
      <c r="G14" s="38"/>
    </row>
    <row r="15" spans="1:8">
      <c r="A15" s="40" t="s">
        <v>92</v>
      </c>
      <c r="B15" s="41" t="s">
        <v>95</v>
      </c>
      <c r="C15" s="41"/>
      <c r="D15" s="42">
        <v>140</v>
      </c>
      <c r="E15" s="42"/>
      <c r="F15" s="43">
        <f t="shared" si="0"/>
        <v>208.95522388059703</v>
      </c>
      <c r="G15" s="38"/>
    </row>
    <row r="16" spans="1:8">
      <c r="A16" s="40" t="s">
        <v>99</v>
      </c>
      <c r="B16" s="41" t="s">
        <v>100</v>
      </c>
      <c r="C16" s="41"/>
      <c r="D16" s="42">
        <v>100</v>
      </c>
      <c r="E16" s="42"/>
      <c r="F16" s="43">
        <f t="shared" si="0"/>
        <v>149.25373134328359</v>
      </c>
      <c r="G16" s="38"/>
    </row>
    <row r="17" spans="1:7">
      <c r="A17" s="40" t="s">
        <v>105</v>
      </c>
      <c r="B17" s="41" t="s">
        <v>106</v>
      </c>
      <c r="C17" s="41"/>
      <c r="D17" s="42">
        <v>140</v>
      </c>
      <c r="E17" s="42"/>
      <c r="F17" s="43">
        <f t="shared" si="0"/>
        <v>208.95522388059703</v>
      </c>
      <c r="G17" s="38"/>
    </row>
    <row r="18" spans="1:7">
      <c r="A18" s="40" t="s">
        <v>109</v>
      </c>
      <c r="B18" s="41" t="s">
        <v>110</v>
      </c>
      <c r="C18" s="41"/>
      <c r="D18" s="42">
        <v>150</v>
      </c>
      <c r="E18" s="42"/>
      <c r="F18" s="43">
        <f t="shared" si="0"/>
        <v>223.88059701492537</v>
      </c>
      <c r="G18" s="38"/>
    </row>
    <row r="19" spans="1:7">
      <c r="A19" s="40" t="s">
        <v>112</v>
      </c>
      <c r="B19" s="41" t="s">
        <v>113</v>
      </c>
      <c r="C19" s="41"/>
      <c r="D19" s="42">
        <v>160</v>
      </c>
      <c r="E19" s="42"/>
      <c r="F19" s="43">
        <f t="shared" si="0"/>
        <v>238.80597014925371</v>
      </c>
      <c r="G19" s="38"/>
    </row>
    <row r="20" spans="1:7">
      <c r="A20" s="40" t="s">
        <v>116</v>
      </c>
      <c r="B20" s="41" t="s">
        <v>118</v>
      </c>
      <c r="C20" s="41"/>
      <c r="D20" s="42">
        <v>140</v>
      </c>
      <c r="E20" s="42"/>
      <c r="F20" s="43">
        <f t="shared" si="0"/>
        <v>208.95522388059703</v>
      </c>
      <c r="G20" s="38"/>
    </row>
    <row r="21" spans="1:7" ht="15.75" customHeight="1">
      <c r="A21" s="46" t="s">
        <v>120</v>
      </c>
      <c r="B21" s="47"/>
      <c r="C21" s="44"/>
      <c r="D21" s="44"/>
      <c r="E21" s="49"/>
      <c r="F21" s="43"/>
      <c r="G21" s="38"/>
    </row>
    <row r="22" spans="1:7" ht="15.75" customHeight="1">
      <c r="A22" s="40" t="s">
        <v>123</v>
      </c>
      <c r="B22" s="41" t="s">
        <v>125</v>
      </c>
      <c r="C22" s="41"/>
      <c r="D22" s="42">
        <v>120</v>
      </c>
      <c r="E22" s="42"/>
      <c r="F22" s="43">
        <f t="shared" si="0"/>
        <v>179.1044776119403</v>
      </c>
      <c r="G22" s="38"/>
    </row>
    <row r="23" spans="1:7" ht="15.75" customHeight="1">
      <c r="A23" s="40" t="s">
        <v>127</v>
      </c>
      <c r="B23" s="41" t="s">
        <v>128</v>
      </c>
      <c r="C23" s="41"/>
      <c r="D23" s="42">
        <v>90</v>
      </c>
      <c r="E23" s="42"/>
      <c r="F23" s="43">
        <f t="shared" si="0"/>
        <v>134.32835820895522</v>
      </c>
      <c r="G23" s="38"/>
    </row>
    <row r="24" spans="1:7" ht="15.75" customHeight="1">
      <c r="A24" s="40" t="s">
        <v>133</v>
      </c>
      <c r="B24" s="41" t="s">
        <v>134</v>
      </c>
      <c r="C24" s="41"/>
      <c r="D24" s="42">
        <v>130</v>
      </c>
      <c r="E24" s="42"/>
      <c r="F24" s="43">
        <f t="shared" si="0"/>
        <v>194.02985074626866</v>
      </c>
      <c r="G24" s="38"/>
    </row>
    <row r="25" spans="1:7" ht="15.75" customHeight="1">
      <c r="A25" s="40" t="s">
        <v>138</v>
      </c>
      <c r="B25" s="41" t="s">
        <v>141</v>
      </c>
      <c r="C25" s="41"/>
      <c r="D25" s="42">
        <v>130</v>
      </c>
      <c r="E25" s="42"/>
      <c r="F25" s="43">
        <f t="shared" si="0"/>
        <v>194.02985074626866</v>
      </c>
      <c r="G25" s="38"/>
    </row>
    <row r="26" spans="1:7" ht="15.75" customHeight="1">
      <c r="A26" s="40" t="s">
        <v>143</v>
      </c>
      <c r="B26" s="41" t="s">
        <v>145</v>
      </c>
      <c r="C26" s="41"/>
      <c r="D26" s="42">
        <v>130</v>
      </c>
      <c r="E26" s="42"/>
      <c r="F26" s="43">
        <f t="shared" si="0"/>
        <v>194.02985074626866</v>
      </c>
      <c r="G26" s="38"/>
    </row>
    <row r="27" spans="1:7" ht="15.75" customHeight="1">
      <c r="A27" s="40" t="s">
        <v>147</v>
      </c>
      <c r="B27" s="41" t="s">
        <v>149</v>
      </c>
      <c r="C27" s="41"/>
      <c r="D27" s="42">
        <v>130</v>
      </c>
      <c r="E27" s="42"/>
      <c r="F27" s="43">
        <f t="shared" si="0"/>
        <v>194.02985074626866</v>
      </c>
      <c r="G27" s="38"/>
    </row>
    <row r="28" spans="1:7" ht="15.75" customHeight="1">
      <c r="A28" s="46" t="s">
        <v>152</v>
      </c>
      <c r="B28" s="47"/>
      <c r="C28" s="44"/>
      <c r="D28" s="44"/>
      <c r="E28" s="49"/>
      <c r="F28" s="43"/>
      <c r="G28" s="38"/>
    </row>
    <row r="29" spans="1:7" ht="15.75" customHeight="1">
      <c r="A29" s="40" t="s">
        <v>157</v>
      </c>
      <c r="B29" s="41" t="s">
        <v>159</v>
      </c>
      <c r="C29" s="41"/>
      <c r="D29" s="42">
        <v>280</v>
      </c>
      <c r="E29" s="42"/>
      <c r="F29" s="43">
        <f t="shared" si="0"/>
        <v>417.91044776119406</v>
      </c>
      <c r="G29" s="38"/>
    </row>
    <row r="30" spans="1:7" ht="15.75" customHeight="1">
      <c r="A30" s="40" t="s">
        <v>161</v>
      </c>
      <c r="B30" s="41" t="s">
        <v>163</v>
      </c>
      <c r="C30" s="41"/>
      <c r="D30" s="42">
        <v>240</v>
      </c>
      <c r="E30" s="42"/>
      <c r="F30" s="43">
        <f t="shared" si="0"/>
        <v>358.20895522388059</v>
      </c>
      <c r="G30" s="38"/>
    </row>
    <row r="31" spans="1:7" ht="15.75" customHeight="1">
      <c r="A31" s="40" t="s">
        <v>165</v>
      </c>
      <c r="B31" s="41" t="s">
        <v>167</v>
      </c>
      <c r="C31" s="41"/>
      <c r="D31" s="42">
        <v>270</v>
      </c>
      <c r="E31" s="42"/>
      <c r="F31" s="43">
        <f t="shared" si="0"/>
        <v>402.98507462686564</v>
      </c>
      <c r="G31" s="38"/>
    </row>
    <row r="32" spans="1:7" ht="15.75" customHeight="1"/>
    <row r="33" spans="1:4" ht="24">
      <c r="A33" s="50" t="s">
        <v>168</v>
      </c>
    </row>
    <row r="34" spans="1:4" ht="15.75" customHeight="1">
      <c r="A34" s="51" t="s">
        <v>96</v>
      </c>
      <c r="B34" s="52"/>
      <c r="C34" s="52"/>
      <c r="D34" s="52"/>
    </row>
    <row r="35" spans="1:4" ht="15.75" customHeight="1">
      <c r="A35" s="51" t="s">
        <v>101</v>
      </c>
      <c r="B35" s="52"/>
      <c r="C35" s="52"/>
      <c r="D35" s="52"/>
    </row>
    <row r="36" spans="1:4" ht="15.75" customHeight="1">
      <c r="A36" s="50" t="s">
        <v>171</v>
      </c>
    </row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4:D34"/>
    <mergeCell ref="A35:D35"/>
    <mergeCell ref="A3:B3"/>
    <mergeCell ref="A1:G1"/>
    <mergeCell ref="A9:B9"/>
    <mergeCell ref="A21:B21"/>
    <mergeCell ref="A28:B28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3" topLeftCell="A4" activePane="bottomLeft" state="frozen"/>
      <selection pane="bottomLeft" activeCell="D2" sqref="D2"/>
    </sheetView>
  </sheetViews>
  <sheetFormatPr defaultColWidth="14.42578125" defaultRowHeight="15" customHeight="1"/>
  <cols>
    <col min="1" max="1" width="10" customWidth="1"/>
    <col min="2" max="2" width="48" customWidth="1"/>
    <col min="3" max="3" width="14" customWidth="1"/>
    <col min="4" max="26" width="8.7109375" customWidth="1"/>
  </cols>
  <sheetData>
    <row r="1" spans="1:4" ht="25.5" customHeight="1">
      <c r="A1" s="23" t="s">
        <v>4</v>
      </c>
      <c r="B1" s="24"/>
      <c r="C1" s="25"/>
    </row>
    <row r="2" spans="1:4">
      <c r="A2" s="1" t="s">
        <v>7</v>
      </c>
      <c r="B2" s="1" t="s">
        <v>9</v>
      </c>
      <c r="C2" s="1" t="s">
        <v>10</v>
      </c>
      <c r="D2" s="14" t="s">
        <v>391</v>
      </c>
    </row>
    <row r="3" spans="1:4">
      <c r="A3" s="26" t="s">
        <v>13</v>
      </c>
      <c r="B3" s="27"/>
      <c r="C3" s="28"/>
    </row>
    <row r="4" spans="1:4">
      <c r="A4" s="4" t="s">
        <v>20</v>
      </c>
      <c r="B4" s="3" t="s">
        <v>24</v>
      </c>
      <c r="C4" s="5">
        <v>230</v>
      </c>
      <c r="D4" s="15">
        <f>(C4*33/67)+C4</f>
        <v>343.28358208955223</v>
      </c>
    </row>
    <row r="5" spans="1:4">
      <c r="A5" s="4" t="s">
        <v>30</v>
      </c>
      <c r="B5" s="3" t="s">
        <v>34</v>
      </c>
      <c r="C5" s="5">
        <v>240</v>
      </c>
      <c r="D5" s="15">
        <f t="shared" ref="D5:D37" si="0">(C5*33/67)+C5</f>
        <v>358.20895522388059</v>
      </c>
    </row>
    <row r="6" spans="1:4">
      <c r="A6" s="4" t="s">
        <v>38</v>
      </c>
      <c r="B6" s="3" t="s">
        <v>41</v>
      </c>
      <c r="C6" s="5">
        <v>240</v>
      </c>
      <c r="D6" s="15">
        <f t="shared" si="0"/>
        <v>358.20895522388059</v>
      </c>
    </row>
    <row r="7" spans="1:4">
      <c r="A7" s="4" t="s">
        <v>45</v>
      </c>
      <c r="B7" s="3" t="s">
        <v>48</v>
      </c>
      <c r="C7" s="5">
        <v>250</v>
      </c>
      <c r="D7" s="15">
        <f t="shared" si="0"/>
        <v>373.13432835820896</v>
      </c>
    </row>
    <row r="8" spans="1:4">
      <c r="A8" s="4" t="s">
        <v>51</v>
      </c>
      <c r="B8" s="3" t="s">
        <v>53</v>
      </c>
      <c r="C8" s="5">
        <v>220</v>
      </c>
      <c r="D8" s="15">
        <f t="shared" si="0"/>
        <v>328.35820895522386</v>
      </c>
    </row>
    <row r="9" spans="1:4">
      <c r="A9" s="4" t="s">
        <v>55</v>
      </c>
      <c r="B9" s="3" t="s">
        <v>57</v>
      </c>
      <c r="C9" s="5">
        <v>180</v>
      </c>
      <c r="D9" s="15">
        <f t="shared" si="0"/>
        <v>268.65671641791045</v>
      </c>
    </row>
    <row r="10" spans="1:4">
      <c r="A10" s="4" t="s">
        <v>60</v>
      </c>
      <c r="B10" s="3" t="s">
        <v>62</v>
      </c>
      <c r="C10" s="5">
        <v>180</v>
      </c>
      <c r="D10" s="15">
        <f t="shared" si="0"/>
        <v>268.65671641791045</v>
      </c>
    </row>
    <row r="11" spans="1:4">
      <c r="A11" s="4" t="s">
        <v>65</v>
      </c>
      <c r="B11" s="3" t="s">
        <v>66</v>
      </c>
      <c r="C11" s="5">
        <v>220</v>
      </c>
      <c r="D11" s="15">
        <f t="shared" si="0"/>
        <v>328.35820895522386</v>
      </c>
    </row>
    <row r="12" spans="1:4">
      <c r="A12" s="4" t="s">
        <v>70</v>
      </c>
      <c r="B12" s="3" t="s">
        <v>74</v>
      </c>
      <c r="C12" s="5">
        <v>230</v>
      </c>
      <c r="D12" s="15">
        <f t="shared" si="0"/>
        <v>343.28358208955223</v>
      </c>
    </row>
    <row r="13" spans="1:4">
      <c r="A13" s="4" t="s">
        <v>76</v>
      </c>
      <c r="B13" s="3" t="s">
        <v>78</v>
      </c>
      <c r="C13" s="5">
        <v>300</v>
      </c>
      <c r="D13" s="15">
        <f t="shared" si="0"/>
        <v>447.76119402985074</v>
      </c>
    </row>
    <row r="14" spans="1:4">
      <c r="A14" s="26" t="s">
        <v>83</v>
      </c>
      <c r="B14" s="27"/>
      <c r="C14" s="28"/>
      <c r="D14" s="15">
        <f t="shared" si="0"/>
        <v>0</v>
      </c>
    </row>
    <row r="15" spans="1:4">
      <c r="A15" s="4" t="s">
        <v>90</v>
      </c>
      <c r="B15" s="3" t="s">
        <v>91</v>
      </c>
      <c r="C15" s="5">
        <v>240</v>
      </c>
      <c r="D15" s="15">
        <f t="shared" si="0"/>
        <v>358.20895522388059</v>
      </c>
    </row>
    <row r="16" spans="1:4">
      <c r="A16" s="4" t="s">
        <v>98</v>
      </c>
      <c r="B16" s="3" t="s">
        <v>102</v>
      </c>
      <c r="C16" s="5">
        <v>250</v>
      </c>
      <c r="D16" s="15">
        <f t="shared" si="0"/>
        <v>373.13432835820896</v>
      </c>
    </row>
    <row r="17" spans="1:4">
      <c r="A17" s="4" t="s">
        <v>107</v>
      </c>
      <c r="B17" s="3" t="s">
        <v>108</v>
      </c>
      <c r="C17" s="5">
        <v>180</v>
      </c>
      <c r="D17" s="15">
        <f t="shared" si="0"/>
        <v>268.65671641791045</v>
      </c>
    </row>
    <row r="18" spans="1:4">
      <c r="A18" s="26" t="s">
        <v>111</v>
      </c>
      <c r="B18" s="27"/>
      <c r="C18" s="28"/>
      <c r="D18" s="15">
        <f t="shared" si="0"/>
        <v>0</v>
      </c>
    </row>
    <row r="19" spans="1:4">
      <c r="A19" s="4" t="s">
        <v>115</v>
      </c>
      <c r="B19" s="3" t="s">
        <v>117</v>
      </c>
      <c r="C19" s="5">
        <v>280</v>
      </c>
      <c r="D19" s="15">
        <f t="shared" si="0"/>
        <v>417.91044776119406</v>
      </c>
    </row>
    <row r="20" spans="1:4">
      <c r="A20" s="4" t="s">
        <v>121</v>
      </c>
      <c r="B20" s="3" t="s">
        <v>122</v>
      </c>
      <c r="C20" s="5">
        <v>280</v>
      </c>
      <c r="D20" s="15">
        <f t="shared" si="0"/>
        <v>417.91044776119406</v>
      </c>
    </row>
    <row r="21" spans="1:4" ht="15.75" customHeight="1">
      <c r="A21" s="26" t="s">
        <v>126</v>
      </c>
      <c r="B21" s="27"/>
      <c r="C21" s="28"/>
      <c r="D21" s="15">
        <f t="shared" si="0"/>
        <v>0</v>
      </c>
    </row>
    <row r="22" spans="1:4" ht="15.75" customHeight="1">
      <c r="A22" s="4" t="s">
        <v>129</v>
      </c>
      <c r="B22" s="3" t="s">
        <v>131</v>
      </c>
      <c r="C22" s="5">
        <v>240</v>
      </c>
      <c r="D22" s="15">
        <f t="shared" si="0"/>
        <v>358.20895522388059</v>
      </c>
    </row>
    <row r="23" spans="1:4" ht="15.75" customHeight="1">
      <c r="A23" s="4" t="s">
        <v>135</v>
      </c>
      <c r="B23" s="3" t="s">
        <v>136</v>
      </c>
      <c r="C23" s="5">
        <v>250</v>
      </c>
      <c r="D23" s="15">
        <f t="shared" si="0"/>
        <v>373.13432835820896</v>
      </c>
    </row>
    <row r="24" spans="1:4" ht="15.75" customHeight="1">
      <c r="A24" s="4" t="s">
        <v>139</v>
      </c>
      <c r="B24" s="3" t="s">
        <v>140</v>
      </c>
      <c r="C24" s="5">
        <v>250</v>
      </c>
      <c r="D24" s="15">
        <f t="shared" si="0"/>
        <v>373.13432835820896</v>
      </c>
    </row>
    <row r="25" spans="1:4" ht="15.75" customHeight="1">
      <c r="A25" s="4" t="s">
        <v>142</v>
      </c>
      <c r="B25" s="3" t="s">
        <v>144</v>
      </c>
      <c r="C25" s="5">
        <v>270</v>
      </c>
      <c r="D25" s="15">
        <f t="shared" si="0"/>
        <v>402.98507462686564</v>
      </c>
    </row>
    <row r="26" spans="1:4" ht="15.75" customHeight="1">
      <c r="A26" s="4" t="s">
        <v>146</v>
      </c>
      <c r="B26" s="3" t="s">
        <v>148</v>
      </c>
      <c r="C26" s="5">
        <v>240</v>
      </c>
      <c r="D26" s="15">
        <f t="shared" si="0"/>
        <v>358.20895522388059</v>
      </c>
    </row>
    <row r="27" spans="1:4" ht="15.75" customHeight="1">
      <c r="A27" s="4" t="s">
        <v>150</v>
      </c>
      <c r="B27" s="3" t="s">
        <v>151</v>
      </c>
      <c r="C27" s="5">
        <v>240</v>
      </c>
      <c r="D27" s="15">
        <f t="shared" si="0"/>
        <v>358.20895522388059</v>
      </c>
    </row>
    <row r="28" spans="1:4" ht="15.75" customHeight="1">
      <c r="A28" s="4" t="s">
        <v>153</v>
      </c>
      <c r="B28" s="3" t="s">
        <v>154</v>
      </c>
      <c r="C28" s="5">
        <v>240</v>
      </c>
      <c r="D28" s="15">
        <f t="shared" si="0"/>
        <v>358.20895522388059</v>
      </c>
    </row>
    <row r="29" spans="1:4" ht="15.75" customHeight="1">
      <c r="A29" s="4" t="s">
        <v>155</v>
      </c>
      <c r="B29" s="3" t="s">
        <v>156</v>
      </c>
      <c r="C29" s="5">
        <v>260</v>
      </c>
      <c r="D29" s="15">
        <f t="shared" si="0"/>
        <v>388.05970149253733</v>
      </c>
    </row>
    <row r="30" spans="1:4" ht="15.75" customHeight="1">
      <c r="A30" s="4" t="s">
        <v>158</v>
      </c>
      <c r="B30" s="3" t="s">
        <v>160</v>
      </c>
      <c r="C30" s="5">
        <v>240</v>
      </c>
      <c r="D30" s="15">
        <f t="shared" si="0"/>
        <v>358.20895522388059</v>
      </c>
    </row>
    <row r="31" spans="1:4" ht="15.75" customHeight="1">
      <c r="A31" s="4" t="s">
        <v>162</v>
      </c>
      <c r="B31" s="3" t="s">
        <v>164</v>
      </c>
      <c r="C31" s="5">
        <v>280</v>
      </c>
      <c r="D31" s="15">
        <f t="shared" si="0"/>
        <v>417.91044776119406</v>
      </c>
    </row>
    <row r="32" spans="1:4" ht="15.75" customHeight="1">
      <c r="A32" s="26" t="s">
        <v>166</v>
      </c>
      <c r="B32" s="27"/>
      <c r="C32" s="28"/>
      <c r="D32" s="15">
        <f t="shared" si="0"/>
        <v>0</v>
      </c>
    </row>
    <row r="33" spans="1:4" ht="15.75" customHeight="1">
      <c r="A33" s="4" t="s">
        <v>169</v>
      </c>
      <c r="B33" s="3" t="s">
        <v>170</v>
      </c>
      <c r="C33" s="5">
        <v>250</v>
      </c>
      <c r="D33" s="15">
        <f t="shared" si="0"/>
        <v>373.13432835820896</v>
      </c>
    </row>
    <row r="34" spans="1:4" ht="15.75" customHeight="1">
      <c r="A34" s="4" t="s">
        <v>172</v>
      </c>
      <c r="B34" s="3" t="s">
        <v>173</v>
      </c>
      <c r="C34" s="5">
        <v>260</v>
      </c>
      <c r="D34" s="15">
        <f t="shared" si="0"/>
        <v>388.05970149253733</v>
      </c>
    </row>
    <row r="35" spans="1:4" ht="15.75" customHeight="1">
      <c r="A35" s="4" t="s">
        <v>174</v>
      </c>
      <c r="B35" s="3" t="s">
        <v>175</v>
      </c>
      <c r="C35" s="5">
        <v>260</v>
      </c>
      <c r="D35" s="15">
        <f t="shared" si="0"/>
        <v>388.05970149253733</v>
      </c>
    </row>
    <row r="36" spans="1:4" ht="15.75" customHeight="1">
      <c r="A36" s="4" t="s">
        <v>176</v>
      </c>
      <c r="B36" s="3" t="s">
        <v>177</v>
      </c>
      <c r="C36" s="5">
        <v>270</v>
      </c>
      <c r="D36" s="15">
        <f t="shared" si="0"/>
        <v>402.98507462686564</v>
      </c>
    </row>
    <row r="37" spans="1:4" ht="15.75" customHeight="1">
      <c r="A37" s="4" t="s">
        <v>178</v>
      </c>
      <c r="B37" s="3" t="s">
        <v>179</v>
      </c>
      <c r="C37" s="5">
        <v>220</v>
      </c>
      <c r="D37" s="15">
        <f t="shared" si="0"/>
        <v>328.35820895522386</v>
      </c>
    </row>
    <row r="38" spans="1:4" ht="15.75" customHeight="1"/>
    <row r="39" spans="1:4" ht="15.75" customHeight="1">
      <c r="A39" s="11" t="s">
        <v>180</v>
      </c>
    </row>
    <row r="40" spans="1:4" ht="15.75" customHeight="1">
      <c r="A40" s="22" t="s">
        <v>96</v>
      </c>
      <c r="B40" s="19"/>
      <c r="C40" s="19"/>
    </row>
    <row r="41" spans="1:4" ht="15.75" customHeight="1">
      <c r="A41" s="22" t="s">
        <v>101</v>
      </c>
      <c r="B41" s="19"/>
      <c r="C41" s="19"/>
    </row>
    <row r="42" spans="1:4" ht="15.75" customHeight="1">
      <c r="A42" s="11" t="s">
        <v>181</v>
      </c>
    </row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2:C32"/>
    <mergeCell ref="A40:C40"/>
    <mergeCell ref="A41:C41"/>
    <mergeCell ref="A1:C1"/>
    <mergeCell ref="A3:C3"/>
    <mergeCell ref="A14:C14"/>
    <mergeCell ref="A18:C18"/>
    <mergeCell ref="A21:C2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3" topLeftCell="A4" activePane="bottomLeft" state="frozen"/>
      <selection pane="bottomLeft" activeCell="G7" sqref="G7"/>
    </sheetView>
  </sheetViews>
  <sheetFormatPr defaultColWidth="14.42578125" defaultRowHeight="15" customHeight="1"/>
  <cols>
    <col min="1" max="1" width="10" customWidth="1"/>
    <col min="2" max="2" width="48" customWidth="1"/>
    <col min="3" max="3" width="14" customWidth="1"/>
    <col min="4" max="26" width="8.7109375" customWidth="1"/>
  </cols>
  <sheetData>
    <row r="1" spans="1:4" ht="25.5" customHeight="1">
      <c r="A1" s="23" t="s">
        <v>182</v>
      </c>
      <c r="B1" s="24"/>
      <c r="C1" s="25"/>
    </row>
    <row r="2" spans="1:4">
      <c r="A2" s="1" t="s">
        <v>7</v>
      </c>
      <c r="B2" s="1" t="s">
        <v>9</v>
      </c>
      <c r="C2" s="1" t="s">
        <v>10</v>
      </c>
      <c r="D2" s="14" t="s">
        <v>391</v>
      </c>
    </row>
    <row r="3" spans="1:4">
      <c r="A3" s="26" t="s">
        <v>183</v>
      </c>
      <c r="B3" s="27"/>
      <c r="C3" s="28"/>
    </row>
    <row r="4" spans="1:4">
      <c r="A4" s="4" t="s">
        <v>184</v>
      </c>
      <c r="B4" s="3" t="s">
        <v>185</v>
      </c>
      <c r="C4" s="5">
        <v>150</v>
      </c>
      <c r="D4" s="15">
        <f>(C4*33/67)+C4</f>
        <v>223.88059701492537</v>
      </c>
    </row>
    <row r="5" spans="1:4">
      <c r="A5" s="4" t="s">
        <v>187</v>
      </c>
      <c r="B5" s="3" t="s">
        <v>188</v>
      </c>
      <c r="C5" s="5">
        <v>165</v>
      </c>
      <c r="D5" s="15">
        <f t="shared" ref="D5:D28" si="0">(C5*33/67)+C5</f>
        <v>246.26865671641792</v>
      </c>
    </row>
    <row r="6" spans="1:4">
      <c r="A6" s="4" t="s">
        <v>189</v>
      </c>
      <c r="B6" s="3" t="s">
        <v>190</v>
      </c>
      <c r="C6" s="5">
        <v>200</v>
      </c>
      <c r="D6" s="15">
        <f t="shared" si="0"/>
        <v>298.50746268656718</v>
      </c>
    </row>
    <row r="7" spans="1:4">
      <c r="A7" s="4" t="s">
        <v>191</v>
      </c>
      <c r="B7" s="3" t="s">
        <v>193</v>
      </c>
      <c r="C7" s="5">
        <v>135</v>
      </c>
      <c r="D7" s="15">
        <f t="shared" si="0"/>
        <v>201.49253731343282</v>
      </c>
    </row>
    <row r="8" spans="1:4">
      <c r="A8" s="4" t="s">
        <v>194</v>
      </c>
      <c r="B8" s="3" t="s">
        <v>195</v>
      </c>
      <c r="C8" s="5">
        <v>145</v>
      </c>
      <c r="D8" s="15">
        <f t="shared" si="0"/>
        <v>216.41791044776119</v>
      </c>
    </row>
    <row r="9" spans="1:4">
      <c r="A9" s="26" t="s">
        <v>198</v>
      </c>
      <c r="B9" s="27"/>
      <c r="C9" s="28"/>
      <c r="D9" s="15">
        <f t="shared" si="0"/>
        <v>0</v>
      </c>
    </row>
    <row r="10" spans="1:4">
      <c r="A10" s="4" t="s">
        <v>200</v>
      </c>
      <c r="B10" s="3" t="s">
        <v>202</v>
      </c>
      <c r="C10" s="5">
        <v>150</v>
      </c>
      <c r="D10" s="15">
        <f t="shared" si="0"/>
        <v>223.88059701492537</v>
      </c>
    </row>
    <row r="11" spans="1:4">
      <c r="A11" s="4" t="s">
        <v>204</v>
      </c>
      <c r="B11" s="3" t="s">
        <v>206</v>
      </c>
      <c r="C11" s="5">
        <v>160</v>
      </c>
      <c r="D11" s="15">
        <f t="shared" si="0"/>
        <v>238.80597014925371</v>
      </c>
    </row>
    <row r="12" spans="1:4">
      <c r="A12" s="4" t="s">
        <v>208</v>
      </c>
      <c r="B12" s="3" t="s">
        <v>210</v>
      </c>
      <c r="C12" s="5">
        <v>190</v>
      </c>
      <c r="D12" s="15">
        <f t="shared" si="0"/>
        <v>283.58208955223881</v>
      </c>
    </row>
    <row r="13" spans="1:4">
      <c r="A13" s="4" t="s">
        <v>211</v>
      </c>
      <c r="B13" s="3" t="s">
        <v>212</v>
      </c>
      <c r="C13" s="5">
        <v>215</v>
      </c>
      <c r="D13" s="15">
        <f t="shared" si="0"/>
        <v>320.8955223880597</v>
      </c>
    </row>
    <row r="14" spans="1:4">
      <c r="A14" s="26" t="s">
        <v>214</v>
      </c>
      <c r="B14" s="27"/>
      <c r="C14" s="28"/>
      <c r="D14" s="15">
        <f t="shared" si="0"/>
        <v>0</v>
      </c>
    </row>
    <row r="15" spans="1:4">
      <c r="A15" s="4" t="s">
        <v>217</v>
      </c>
      <c r="B15" s="13" t="s">
        <v>219</v>
      </c>
      <c r="C15" s="5">
        <v>22</v>
      </c>
      <c r="D15" s="15">
        <f t="shared" si="0"/>
        <v>32.835820895522389</v>
      </c>
    </row>
    <row r="16" spans="1:4">
      <c r="A16" s="4" t="s">
        <v>221</v>
      </c>
      <c r="B16" s="3" t="s">
        <v>223</v>
      </c>
      <c r="C16" s="5">
        <v>22</v>
      </c>
      <c r="D16" s="15">
        <f t="shared" si="0"/>
        <v>32.835820895522389</v>
      </c>
    </row>
    <row r="17" spans="1:4">
      <c r="A17" s="4" t="s">
        <v>225</v>
      </c>
      <c r="B17" s="3" t="s">
        <v>227</v>
      </c>
      <c r="C17" s="5">
        <v>25</v>
      </c>
      <c r="D17" s="15">
        <f t="shared" si="0"/>
        <v>37.313432835820898</v>
      </c>
    </row>
    <row r="18" spans="1:4">
      <c r="A18" s="4" t="s">
        <v>229</v>
      </c>
      <c r="B18" s="3" t="s">
        <v>231</v>
      </c>
      <c r="C18" s="5">
        <v>35</v>
      </c>
      <c r="D18" s="15">
        <f t="shared" si="0"/>
        <v>52.238805970149258</v>
      </c>
    </row>
    <row r="19" spans="1:4">
      <c r="A19" s="4" t="s">
        <v>232</v>
      </c>
      <c r="B19" s="3" t="s">
        <v>234</v>
      </c>
      <c r="C19" s="5">
        <v>40</v>
      </c>
      <c r="D19" s="15">
        <f t="shared" si="0"/>
        <v>59.701492537313428</v>
      </c>
    </row>
    <row r="20" spans="1:4">
      <c r="A20" s="4" t="s">
        <v>236</v>
      </c>
      <c r="B20" s="3" t="s">
        <v>237</v>
      </c>
      <c r="C20" s="5">
        <v>45</v>
      </c>
      <c r="D20" s="15">
        <f t="shared" si="0"/>
        <v>67.164179104477611</v>
      </c>
    </row>
    <row r="21" spans="1:4" ht="15.75" customHeight="1">
      <c r="A21" s="4" t="s">
        <v>239</v>
      </c>
      <c r="B21" s="3" t="s">
        <v>241</v>
      </c>
      <c r="C21" s="5">
        <v>50</v>
      </c>
      <c r="D21" s="15">
        <f t="shared" si="0"/>
        <v>74.626865671641795</v>
      </c>
    </row>
    <row r="22" spans="1:4" ht="15.75" customHeight="1">
      <c r="A22" s="4" t="s">
        <v>243</v>
      </c>
      <c r="B22" s="3" t="s">
        <v>245</v>
      </c>
      <c r="C22" s="5">
        <v>45</v>
      </c>
      <c r="D22" s="15">
        <f t="shared" si="0"/>
        <v>67.164179104477611</v>
      </c>
    </row>
    <row r="23" spans="1:4" ht="15.75" customHeight="1">
      <c r="A23" s="4" t="s">
        <v>247</v>
      </c>
      <c r="B23" s="3" t="s">
        <v>249</v>
      </c>
      <c r="C23" s="5">
        <v>50</v>
      </c>
      <c r="D23" s="15">
        <f t="shared" si="0"/>
        <v>74.626865671641795</v>
      </c>
    </row>
    <row r="24" spans="1:4" ht="15.75" customHeight="1">
      <c r="A24" s="4" t="s">
        <v>250</v>
      </c>
      <c r="B24" s="3" t="s">
        <v>252</v>
      </c>
      <c r="C24" s="5">
        <v>40</v>
      </c>
      <c r="D24" s="15">
        <f t="shared" si="0"/>
        <v>59.701492537313428</v>
      </c>
    </row>
    <row r="25" spans="1:4" ht="15.75" customHeight="1">
      <c r="A25" s="4" t="s">
        <v>253</v>
      </c>
      <c r="B25" s="3" t="s">
        <v>255</v>
      </c>
      <c r="C25" s="5">
        <v>55</v>
      </c>
      <c r="D25" s="15">
        <f t="shared" si="0"/>
        <v>82.089552238805965</v>
      </c>
    </row>
    <row r="26" spans="1:4" ht="15.75" customHeight="1">
      <c r="A26" s="4" t="s">
        <v>257</v>
      </c>
      <c r="B26" s="3" t="s">
        <v>259</v>
      </c>
      <c r="C26" s="5">
        <v>80</v>
      </c>
      <c r="D26" s="15">
        <f t="shared" si="0"/>
        <v>119.40298507462686</v>
      </c>
    </row>
    <row r="27" spans="1:4" ht="15.75" customHeight="1">
      <c r="A27" s="4" t="s">
        <v>261</v>
      </c>
      <c r="B27" s="3" t="s">
        <v>263</v>
      </c>
      <c r="C27" s="5">
        <v>65</v>
      </c>
      <c r="D27" s="15">
        <f t="shared" si="0"/>
        <v>97.014925373134332</v>
      </c>
    </row>
    <row r="28" spans="1:4" ht="15.75" customHeight="1">
      <c r="A28" s="4">
        <v>19.14</v>
      </c>
      <c r="B28" s="3" t="s">
        <v>266</v>
      </c>
      <c r="C28" s="12">
        <v>280</v>
      </c>
      <c r="D28" s="15">
        <f t="shared" si="0"/>
        <v>417.91044776119406</v>
      </c>
    </row>
    <row r="29" spans="1:4" ht="15.75" customHeight="1">
      <c r="A29" s="11" t="s">
        <v>268</v>
      </c>
    </row>
    <row r="30" spans="1:4" ht="15.75" customHeight="1">
      <c r="A30" s="22" t="s">
        <v>96</v>
      </c>
      <c r="B30" s="19"/>
      <c r="C30" s="19"/>
    </row>
    <row r="31" spans="1:4" ht="15.75" customHeight="1">
      <c r="A31" s="22" t="s">
        <v>101</v>
      </c>
      <c r="B31" s="19"/>
      <c r="C31" s="19"/>
    </row>
    <row r="32" spans="1:4" ht="15.75" customHeight="1">
      <c r="A32" s="11" t="s">
        <v>270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1:C31"/>
    <mergeCell ref="A1:C1"/>
    <mergeCell ref="A3:C3"/>
    <mergeCell ref="A9:C9"/>
    <mergeCell ref="A14:C14"/>
    <mergeCell ref="A30:C30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3" topLeftCell="A4" activePane="bottomLeft" state="frozen"/>
      <selection pane="bottomLeft" activeCell="G7" sqref="G7"/>
    </sheetView>
  </sheetViews>
  <sheetFormatPr defaultColWidth="14.42578125" defaultRowHeight="15" customHeight="1"/>
  <cols>
    <col min="1" max="1" width="10" customWidth="1"/>
    <col min="2" max="2" width="48" customWidth="1"/>
    <col min="3" max="3" width="14" customWidth="1"/>
    <col min="4" max="4" width="6.5703125" bestFit="1" customWidth="1"/>
    <col min="5" max="26" width="8.7109375" customWidth="1"/>
  </cols>
  <sheetData>
    <row r="1" spans="1:4" ht="25.5" customHeight="1">
      <c r="A1" s="23" t="s">
        <v>186</v>
      </c>
      <c r="B1" s="24"/>
      <c r="C1" s="25"/>
    </row>
    <row r="2" spans="1:4">
      <c r="A2" s="1" t="s">
        <v>7</v>
      </c>
      <c r="B2" s="1" t="s">
        <v>9</v>
      </c>
      <c r="C2" s="1" t="s">
        <v>10</v>
      </c>
      <c r="D2" s="14" t="s">
        <v>391</v>
      </c>
    </row>
    <row r="3" spans="1:4">
      <c r="A3" s="26" t="s">
        <v>192</v>
      </c>
      <c r="B3" s="27"/>
      <c r="C3" s="28"/>
    </row>
    <row r="4" spans="1:4">
      <c r="A4" s="4" t="s">
        <v>196</v>
      </c>
      <c r="B4" s="3" t="s">
        <v>197</v>
      </c>
      <c r="C4" s="5">
        <v>110</v>
      </c>
      <c r="D4" s="15">
        <f>(C4*33/67)+C4</f>
        <v>164.17910447761193</v>
      </c>
    </row>
    <row r="5" spans="1:4">
      <c r="A5" s="4" t="s">
        <v>199</v>
      </c>
      <c r="B5" s="3" t="s">
        <v>201</v>
      </c>
      <c r="C5" s="5">
        <v>130</v>
      </c>
      <c r="D5" s="15">
        <f t="shared" ref="D5:D25" si="0">(C5*33/67)+C5</f>
        <v>194.02985074626866</v>
      </c>
    </row>
    <row r="6" spans="1:4">
      <c r="A6" s="4" t="s">
        <v>203</v>
      </c>
      <c r="B6" s="3" t="s">
        <v>205</v>
      </c>
      <c r="C6" s="5">
        <v>110</v>
      </c>
      <c r="D6" s="15">
        <f t="shared" si="0"/>
        <v>164.17910447761193</v>
      </c>
    </row>
    <row r="7" spans="1:4">
      <c r="A7" s="4" t="s">
        <v>207</v>
      </c>
      <c r="B7" s="3" t="s">
        <v>209</v>
      </c>
      <c r="C7" s="5">
        <v>130</v>
      </c>
      <c r="D7" s="15">
        <f t="shared" si="0"/>
        <v>194.02985074626866</v>
      </c>
    </row>
    <row r="8" spans="1:4">
      <c r="A8" s="4" t="s">
        <v>213</v>
      </c>
      <c r="B8" s="3" t="s">
        <v>215</v>
      </c>
      <c r="C8" s="5">
        <v>150</v>
      </c>
      <c r="D8" s="15">
        <f t="shared" si="0"/>
        <v>223.88059701492537</v>
      </c>
    </row>
    <row r="9" spans="1:4">
      <c r="A9" s="4" t="s">
        <v>216</v>
      </c>
      <c r="B9" s="3" t="s">
        <v>218</v>
      </c>
      <c r="C9" s="5">
        <v>140</v>
      </c>
      <c r="D9" s="15">
        <f t="shared" si="0"/>
        <v>208.95522388059703</v>
      </c>
    </row>
    <row r="10" spans="1:4">
      <c r="A10" s="4" t="s">
        <v>220</v>
      </c>
      <c r="B10" s="3" t="s">
        <v>222</v>
      </c>
      <c r="C10" s="5">
        <v>150</v>
      </c>
      <c r="D10" s="15">
        <f t="shared" si="0"/>
        <v>223.88059701492537</v>
      </c>
    </row>
    <row r="11" spans="1:4">
      <c r="A11" s="4" t="s">
        <v>224</v>
      </c>
      <c r="B11" s="3" t="s">
        <v>226</v>
      </c>
      <c r="C11" s="5">
        <v>190</v>
      </c>
      <c r="D11" s="15">
        <f t="shared" si="0"/>
        <v>283.58208955223881</v>
      </c>
    </row>
    <row r="12" spans="1:4">
      <c r="A12" s="4" t="s">
        <v>228</v>
      </c>
      <c r="B12" s="3" t="s">
        <v>230</v>
      </c>
      <c r="C12" s="5">
        <v>90</v>
      </c>
      <c r="D12" s="15">
        <f t="shared" si="0"/>
        <v>134.32835820895522</v>
      </c>
    </row>
    <row r="13" spans="1:4">
      <c r="A13" s="4" t="s">
        <v>233</v>
      </c>
      <c r="B13" s="3" t="s">
        <v>235</v>
      </c>
      <c r="C13" s="5">
        <v>130</v>
      </c>
      <c r="D13" s="15">
        <f t="shared" si="0"/>
        <v>194.02985074626866</v>
      </c>
    </row>
    <row r="14" spans="1:4">
      <c r="A14" s="4" t="s">
        <v>238</v>
      </c>
      <c r="B14" s="3" t="s">
        <v>240</v>
      </c>
      <c r="C14" s="5">
        <v>20</v>
      </c>
      <c r="D14" s="15">
        <f t="shared" si="0"/>
        <v>29.850746268656714</v>
      </c>
    </row>
    <row r="15" spans="1:4">
      <c r="A15" s="4" t="s">
        <v>242</v>
      </c>
      <c r="B15" s="3" t="s">
        <v>244</v>
      </c>
      <c r="C15" s="5">
        <v>10</v>
      </c>
      <c r="D15" s="15">
        <f t="shared" si="0"/>
        <v>14.925373134328357</v>
      </c>
    </row>
    <row r="16" spans="1:4">
      <c r="A16" s="4" t="s">
        <v>246</v>
      </c>
      <c r="B16" s="3" t="s">
        <v>248</v>
      </c>
      <c r="C16" s="5">
        <v>230</v>
      </c>
      <c r="D16" s="15">
        <f t="shared" si="0"/>
        <v>343.28358208955223</v>
      </c>
    </row>
    <row r="17" spans="1:4">
      <c r="A17" s="26" t="s">
        <v>251</v>
      </c>
      <c r="B17" s="27"/>
      <c r="C17" s="28"/>
      <c r="D17" s="15">
        <f t="shared" si="0"/>
        <v>0</v>
      </c>
    </row>
    <row r="18" spans="1:4">
      <c r="A18" s="4" t="s">
        <v>254</v>
      </c>
      <c r="B18" s="3" t="s">
        <v>256</v>
      </c>
      <c r="C18" s="5">
        <v>120</v>
      </c>
      <c r="D18" s="15">
        <f t="shared" si="0"/>
        <v>179.1044776119403</v>
      </c>
    </row>
    <row r="19" spans="1:4">
      <c r="A19" s="4" t="s">
        <v>258</v>
      </c>
      <c r="B19" s="3" t="s">
        <v>260</v>
      </c>
      <c r="C19" s="5">
        <v>170</v>
      </c>
      <c r="D19" s="15">
        <f t="shared" si="0"/>
        <v>253.73134328358208</v>
      </c>
    </row>
    <row r="20" spans="1:4">
      <c r="A20" s="4" t="s">
        <v>262</v>
      </c>
      <c r="B20" s="3" t="s">
        <v>264</v>
      </c>
      <c r="C20" s="5">
        <v>160</v>
      </c>
      <c r="D20" s="15">
        <f t="shared" si="0"/>
        <v>238.80597014925371</v>
      </c>
    </row>
    <row r="21" spans="1:4" ht="15.75" customHeight="1">
      <c r="A21" s="4" t="s">
        <v>265</v>
      </c>
      <c r="B21" s="3" t="s">
        <v>267</v>
      </c>
      <c r="C21" s="5">
        <v>160</v>
      </c>
      <c r="D21" s="15">
        <f t="shared" si="0"/>
        <v>238.80597014925371</v>
      </c>
    </row>
    <row r="22" spans="1:4" ht="15.75" customHeight="1">
      <c r="A22" s="26" t="s">
        <v>269</v>
      </c>
      <c r="B22" s="27"/>
      <c r="C22" s="28"/>
      <c r="D22" s="15">
        <f t="shared" si="0"/>
        <v>0</v>
      </c>
    </row>
    <row r="23" spans="1:4" ht="15.75" customHeight="1">
      <c r="A23" s="4" t="s">
        <v>271</v>
      </c>
      <c r="B23" s="3" t="s">
        <v>273</v>
      </c>
      <c r="C23" s="5">
        <v>260</v>
      </c>
      <c r="D23" s="15">
        <f t="shared" si="0"/>
        <v>388.05970149253733</v>
      </c>
    </row>
    <row r="24" spans="1:4" ht="15.75" customHeight="1">
      <c r="A24" s="4" t="s">
        <v>274</v>
      </c>
      <c r="B24" s="3" t="s">
        <v>275</v>
      </c>
      <c r="C24" s="5">
        <v>265</v>
      </c>
      <c r="D24" s="15">
        <f t="shared" si="0"/>
        <v>395.52238805970148</v>
      </c>
    </row>
    <row r="25" spans="1:4" ht="15.75" customHeight="1">
      <c r="A25" s="4" t="s">
        <v>276</v>
      </c>
      <c r="B25" s="3" t="s">
        <v>277</v>
      </c>
      <c r="C25" s="5">
        <v>270</v>
      </c>
      <c r="D25" s="15">
        <f t="shared" si="0"/>
        <v>402.98507462686564</v>
      </c>
    </row>
    <row r="26" spans="1:4" ht="15.75" customHeight="1"/>
    <row r="27" spans="1:4" ht="15.75" customHeight="1">
      <c r="A27" s="11" t="s">
        <v>278</v>
      </c>
    </row>
    <row r="28" spans="1:4" ht="15.75" customHeight="1">
      <c r="A28" s="22" t="s">
        <v>96</v>
      </c>
      <c r="B28" s="19"/>
      <c r="C28" s="19"/>
    </row>
    <row r="29" spans="1:4" ht="15.75" customHeight="1">
      <c r="A29" s="22" t="s">
        <v>101</v>
      </c>
      <c r="B29" s="19"/>
      <c r="C29" s="19"/>
    </row>
    <row r="30" spans="1:4" ht="15.75" customHeight="1">
      <c r="A30" s="11" t="s">
        <v>279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9:C29"/>
    <mergeCell ref="A1:C1"/>
    <mergeCell ref="A3:C3"/>
    <mergeCell ref="A17:C17"/>
    <mergeCell ref="A22:C22"/>
    <mergeCell ref="A28:C28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pane ySplit="3" topLeftCell="A4" activePane="bottomLeft" state="frozen"/>
      <selection pane="bottomLeft" activeCell="G23" sqref="G23"/>
    </sheetView>
  </sheetViews>
  <sheetFormatPr defaultColWidth="14.42578125" defaultRowHeight="15" customHeight="1"/>
  <cols>
    <col min="1" max="1" width="10" customWidth="1"/>
    <col min="2" max="2" width="48" customWidth="1"/>
    <col min="3" max="3" width="14" customWidth="1"/>
    <col min="4" max="26" width="8.7109375" customWidth="1"/>
  </cols>
  <sheetData>
    <row r="1" spans="1:4" ht="25.5" customHeight="1">
      <c r="A1" s="23" t="s">
        <v>272</v>
      </c>
      <c r="B1" s="24"/>
      <c r="C1" s="25"/>
    </row>
    <row r="2" spans="1:4">
      <c r="A2" s="1" t="s">
        <v>7</v>
      </c>
      <c r="B2" s="1" t="s">
        <v>9</v>
      </c>
      <c r="C2" s="1" t="s">
        <v>10</v>
      </c>
      <c r="D2" s="14" t="s">
        <v>391</v>
      </c>
    </row>
    <row r="3" spans="1:4">
      <c r="A3" s="26" t="s">
        <v>280</v>
      </c>
      <c r="B3" s="27"/>
      <c r="C3" s="28"/>
    </row>
    <row r="4" spans="1:4">
      <c r="A4" s="4" t="s">
        <v>281</v>
      </c>
      <c r="B4" s="3" t="s">
        <v>282</v>
      </c>
      <c r="C4" s="5">
        <v>50</v>
      </c>
      <c r="D4">
        <f>(C4*33/67)+C4</f>
        <v>74.626865671641795</v>
      </c>
    </row>
    <row r="5" spans="1:4">
      <c r="A5" s="4" t="s">
        <v>284</v>
      </c>
      <c r="B5" s="3" t="s">
        <v>285</v>
      </c>
      <c r="C5" s="5">
        <v>50</v>
      </c>
      <c r="D5">
        <f t="shared" ref="D5:D41" si="0">(C5*33/67)+C5</f>
        <v>74.626865671641795</v>
      </c>
    </row>
    <row r="6" spans="1:4">
      <c r="A6" s="4" t="s">
        <v>286</v>
      </c>
      <c r="B6" s="3" t="s">
        <v>287</v>
      </c>
      <c r="C6" s="5">
        <v>50</v>
      </c>
      <c r="D6" s="15">
        <f t="shared" si="0"/>
        <v>74.626865671641795</v>
      </c>
    </row>
    <row r="7" spans="1:4">
      <c r="A7" s="4" t="s">
        <v>288</v>
      </c>
      <c r="B7" s="3" t="s">
        <v>290</v>
      </c>
      <c r="C7" s="5">
        <v>90</v>
      </c>
      <c r="D7" s="15">
        <f t="shared" si="0"/>
        <v>134.32835820895522</v>
      </c>
    </row>
    <row r="8" spans="1:4">
      <c r="A8" s="4" t="s">
        <v>292</v>
      </c>
      <c r="B8" s="3" t="s">
        <v>294</v>
      </c>
      <c r="C8" s="5">
        <v>100</v>
      </c>
      <c r="D8" s="15">
        <f t="shared" si="0"/>
        <v>149.25373134328359</v>
      </c>
    </row>
    <row r="9" spans="1:4">
      <c r="A9" s="4" t="s">
        <v>297</v>
      </c>
      <c r="B9" s="3" t="s">
        <v>298</v>
      </c>
      <c r="C9" s="5">
        <v>120</v>
      </c>
      <c r="D9" s="15">
        <f t="shared" si="0"/>
        <v>179.1044776119403</v>
      </c>
    </row>
    <row r="10" spans="1:4">
      <c r="A10" s="4" t="s">
        <v>300</v>
      </c>
      <c r="B10" s="3" t="s">
        <v>301</v>
      </c>
      <c r="C10" s="5">
        <v>120</v>
      </c>
      <c r="D10" s="15">
        <f t="shared" si="0"/>
        <v>179.1044776119403</v>
      </c>
    </row>
    <row r="11" spans="1:4">
      <c r="A11" s="4" t="s">
        <v>304</v>
      </c>
      <c r="B11" s="3" t="s">
        <v>305</v>
      </c>
      <c r="C11" s="5">
        <v>140</v>
      </c>
      <c r="D11" s="15">
        <f t="shared" si="0"/>
        <v>208.95522388059703</v>
      </c>
    </row>
    <row r="12" spans="1:4">
      <c r="A12" s="4" t="s">
        <v>307</v>
      </c>
      <c r="B12" s="3" t="s">
        <v>308</v>
      </c>
      <c r="C12" s="5">
        <v>160</v>
      </c>
      <c r="D12" s="15">
        <f t="shared" si="0"/>
        <v>238.80597014925371</v>
      </c>
    </row>
    <row r="13" spans="1:4">
      <c r="A13" s="4" t="s">
        <v>311</v>
      </c>
      <c r="B13" s="3" t="s">
        <v>312</v>
      </c>
      <c r="C13" s="5">
        <v>170</v>
      </c>
      <c r="D13" s="15">
        <f t="shared" si="0"/>
        <v>253.73134328358208</v>
      </c>
    </row>
    <row r="14" spans="1:4">
      <c r="A14" s="4" t="s">
        <v>315</v>
      </c>
      <c r="B14" s="3" t="s">
        <v>316</v>
      </c>
      <c r="C14" s="5">
        <v>220</v>
      </c>
      <c r="D14" s="15">
        <f t="shared" si="0"/>
        <v>328.35820895522386</v>
      </c>
    </row>
    <row r="15" spans="1:4">
      <c r="A15" s="4" t="s">
        <v>318</v>
      </c>
      <c r="B15" s="3" t="s">
        <v>319</v>
      </c>
      <c r="C15" s="5">
        <v>160</v>
      </c>
      <c r="D15" s="15">
        <f t="shared" si="0"/>
        <v>238.80597014925371</v>
      </c>
    </row>
    <row r="16" spans="1:4">
      <c r="A16" s="4" t="s">
        <v>320</v>
      </c>
      <c r="B16" s="3" t="s">
        <v>321</v>
      </c>
      <c r="C16" s="5">
        <v>150</v>
      </c>
      <c r="D16" s="15">
        <f t="shared" si="0"/>
        <v>223.88059701492537</v>
      </c>
    </row>
    <row r="17" spans="1:4">
      <c r="A17" s="4" t="s">
        <v>322</v>
      </c>
      <c r="B17" s="3" t="s">
        <v>323</v>
      </c>
      <c r="C17" s="5">
        <v>170</v>
      </c>
      <c r="D17" s="15">
        <f t="shared" si="0"/>
        <v>253.73134328358208</v>
      </c>
    </row>
    <row r="18" spans="1:4">
      <c r="A18" s="4" t="s">
        <v>324</v>
      </c>
      <c r="B18" s="3" t="s">
        <v>325</v>
      </c>
      <c r="C18" s="5">
        <v>250</v>
      </c>
      <c r="D18" s="15">
        <f t="shared" si="0"/>
        <v>373.13432835820896</v>
      </c>
    </row>
    <row r="19" spans="1:4">
      <c r="A19" s="26" t="s">
        <v>326</v>
      </c>
      <c r="B19" s="27"/>
      <c r="C19" s="28"/>
      <c r="D19" s="15">
        <f t="shared" si="0"/>
        <v>0</v>
      </c>
    </row>
    <row r="20" spans="1:4">
      <c r="A20" s="4" t="s">
        <v>327</v>
      </c>
      <c r="B20" s="3" t="s">
        <v>328</v>
      </c>
      <c r="C20" s="5">
        <v>200</v>
      </c>
      <c r="D20" s="15">
        <f t="shared" si="0"/>
        <v>298.50746268656718</v>
      </c>
    </row>
    <row r="21" spans="1:4" ht="15.75" customHeight="1">
      <c r="A21" s="4" t="s">
        <v>329</v>
      </c>
      <c r="B21" s="3" t="s">
        <v>330</v>
      </c>
      <c r="C21" s="5">
        <v>130</v>
      </c>
      <c r="D21" s="15">
        <f t="shared" si="0"/>
        <v>194.02985074626866</v>
      </c>
    </row>
    <row r="22" spans="1:4" ht="15.75" customHeight="1">
      <c r="A22" s="4" t="s">
        <v>331</v>
      </c>
      <c r="B22" s="3" t="s">
        <v>332</v>
      </c>
      <c r="C22" s="5">
        <v>130</v>
      </c>
      <c r="D22" s="15">
        <f t="shared" si="0"/>
        <v>194.02985074626866</v>
      </c>
    </row>
    <row r="23" spans="1:4" ht="15.75" customHeight="1">
      <c r="A23" s="4" t="s">
        <v>333</v>
      </c>
      <c r="B23" s="3" t="s">
        <v>334</v>
      </c>
      <c r="C23" s="5">
        <v>170</v>
      </c>
      <c r="D23" s="15">
        <f t="shared" si="0"/>
        <v>253.73134328358208</v>
      </c>
    </row>
    <row r="24" spans="1:4" ht="15.75" customHeight="1">
      <c r="A24" s="4" t="s">
        <v>335</v>
      </c>
      <c r="B24" s="3" t="s">
        <v>336</v>
      </c>
      <c r="C24" s="5">
        <v>180</v>
      </c>
      <c r="D24" s="15">
        <f t="shared" si="0"/>
        <v>268.65671641791045</v>
      </c>
    </row>
    <row r="25" spans="1:4" ht="15.75" customHeight="1">
      <c r="A25" s="26" t="s">
        <v>337</v>
      </c>
      <c r="B25" s="27"/>
      <c r="C25" s="28"/>
      <c r="D25" s="15">
        <f t="shared" si="0"/>
        <v>0</v>
      </c>
    </row>
    <row r="26" spans="1:4" ht="15.75" customHeight="1">
      <c r="A26" s="4" t="s">
        <v>338</v>
      </c>
      <c r="B26" s="3" t="s">
        <v>339</v>
      </c>
      <c r="C26" s="5">
        <v>150</v>
      </c>
      <c r="D26" s="15">
        <f t="shared" si="0"/>
        <v>223.88059701492537</v>
      </c>
    </row>
    <row r="27" spans="1:4" ht="15.75" customHeight="1">
      <c r="A27" s="4" t="s">
        <v>340</v>
      </c>
      <c r="B27" s="3" t="s">
        <v>341</v>
      </c>
      <c r="C27" s="5">
        <v>170</v>
      </c>
      <c r="D27" s="15">
        <f t="shared" si="0"/>
        <v>253.73134328358208</v>
      </c>
    </row>
    <row r="28" spans="1:4" ht="15.75" customHeight="1">
      <c r="A28" s="4" t="s">
        <v>342</v>
      </c>
      <c r="B28" s="3" t="s">
        <v>343</v>
      </c>
      <c r="C28" s="5">
        <v>170</v>
      </c>
      <c r="D28" s="15">
        <f t="shared" si="0"/>
        <v>253.73134328358208</v>
      </c>
    </row>
    <row r="29" spans="1:4" ht="15.75" customHeight="1">
      <c r="A29" s="4" t="s">
        <v>344</v>
      </c>
      <c r="B29" s="3" t="s">
        <v>345</v>
      </c>
      <c r="C29" s="5">
        <v>190</v>
      </c>
      <c r="D29" s="15">
        <f t="shared" si="0"/>
        <v>283.58208955223881</v>
      </c>
    </row>
    <row r="30" spans="1:4" ht="15.75" customHeight="1">
      <c r="A30" s="4" t="s">
        <v>346</v>
      </c>
      <c r="B30" s="3" t="s">
        <v>347</v>
      </c>
      <c r="C30" s="5">
        <v>120</v>
      </c>
      <c r="D30" s="15">
        <f t="shared" si="0"/>
        <v>179.1044776119403</v>
      </c>
    </row>
    <row r="31" spans="1:4" ht="15.75" customHeight="1">
      <c r="A31" s="4" t="s">
        <v>348</v>
      </c>
      <c r="B31" s="3" t="s">
        <v>349</v>
      </c>
      <c r="C31" s="5">
        <v>190</v>
      </c>
      <c r="D31" s="15">
        <f t="shared" si="0"/>
        <v>283.58208955223881</v>
      </c>
    </row>
    <row r="32" spans="1:4" ht="15.75" customHeight="1">
      <c r="A32" s="4" t="s">
        <v>351</v>
      </c>
      <c r="B32" s="3" t="s">
        <v>352</v>
      </c>
      <c r="C32" s="5">
        <v>200</v>
      </c>
      <c r="D32" s="15">
        <f t="shared" si="0"/>
        <v>298.50746268656718</v>
      </c>
    </row>
    <row r="33" spans="1:4" ht="15.75" customHeight="1">
      <c r="A33" s="4" t="s">
        <v>353</v>
      </c>
      <c r="B33" s="3" t="s">
        <v>355</v>
      </c>
      <c r="C33" s="5">
        <v>250</v>
      </c>
      <c r="D33" s="15">
        <f t="shared" si="0"/>
        <v>373.13432835820896</v>
      </c>
    </row>
    <row r="34" spans="1:4" ht="15.75" customHeight="1">
      <c r="A34" s="26" t="s">
        <v>356</v>
      </c>
      <c r="B34" s="27"/>
      <c r="C34" s="28"/>
      <c r="D34" s="15">
        <f t="shared" si="0"/>
        <v>0</v>
      </c>
    </row>
    <row r="35" spans="1:4" ht="15.75" customHeight="1">
      <c r="A35" s="4" t="s">
        <v>359</v>
      </c>
      <c r="B35" s="3" t="s">
        <v>360</v>
      </c>
      <c r="C35" s="5">
        <v>60</v>
      </c>
      <c r="D35" s="15">
        <f t="shared" si="0"/>
        <v>89.552238805970148</v>
      </c>
    </row>
    <row r="36" spans="1:4" ht="15.75" customHeight="1">
      <c r="A36" s="4" t="s">
        <v>361</v>
      </c>
      <c r="B36" s="3" t="s">
        <v>363</v>
      </c>
      <c r="C36" s="5">
        <v>80</v>
      </c>
      <c r="D36" s="15">
        <f t="shared" si="0"/>
        <v>119.40298507462686</v>
      </c>
    </row>
    <row r="37" spans="1:4" ht="15.75" customHeight="1">
      <c r="A37" s="4" t="s">
        <v>365</v>
      </c>
      <c r="B37" s="3" t="s">
        <v>366</v>
      </c>
      <c r="C37" s="5">
        <v>70</v>
      </c>
      <c r="D37" s="15">
        <f t="shared" si="0"/>
        <v>104.47761194029852</v>
      </c>
    </row>
    <row r="38" spans="1:4" ht="15.75" customHeight="1">
      <c r="A38" s="4" t="s">
        <v>368</v>
      </c>
      <c r="B38" s="3" t="s">
        <v>369</v>
      </c>
      <c r="C38" s="5">
        <v>50</v>
      </c>
      <c r="D38" s="15">
        <f t="shared" si="0"/>
        <v>74.626865671641795</v>
      </c>
    </row>
    <row r="39" spans="1:4" ht="15.75" customHeight="1">
      <c r="A39" s="4" t="s">
        <v>370</v>
      </c>
      <c r="B39" s="3" t="s">
        <v>371</v>
      </c>
      <c r="C39" s="5">
        <v>60</v>
      </c>
      <c r="D39" s="15">
        <f t="shared" si="0"/>
        <v>89.552238805970148</v>
      </c>
    </row>
    <row r="40" spans="1:4" ht="15.75" customHeight="1">
      <c r="A40" s="4" t="s">
        <v>373</v>
      </c>
      <c r="B40" s="3" t="s">
        <v>375</v>
      </c>
      <c r="C40" s="5">
        <v>60</v>
      </c>
      <c r="D40" s="15">
        <f t="shared" si="0"/>
        <v>89.552238805970148</v>
      </c>
    </row>
    <row r="41" spans="1:4" ht="15.75" customHeight="1">
      <c r="A41" s="4" t="s">
        <v>377</v>
      </c>
      <c r="B41" s="3" t="s">
        <v>379</v>
      </c>
      <c r="C41" s="5">
        <v>80</v>
      </c>
      <c r="D41" s="15">
        <f t="shared" si="0"/>
        <v>119.40298507462686</v>
      </c>
    </row>
    <row r="42" spans="1:4" ht="15.75" customHeight="1"/>
    <row r="43" spans="1:4" ht="15.75" customHeight="1">
      <c r="A43" s="11" t="s">
        <v>381</v>
      </c>
    </row>
    <row r="44" spans="1:4" ht="15.75" customHeight="1">
      <c r="A44" s="22" t="s">
        <v>96</v>
      </c>
      <c r="B44" s="19"/>
      <c r="C44" s="19"/>
    </row>
    <row r="45" spans="1:4" ht="15.75" customHeight="1">
      <c r="A45" s="22" t="s">
        <v>101</v>
      </c>
      <c r="B45" s="19"/>
      <c r="C45" s="19"/>
    </row>
    <row r="46" spans="1:4" ht="15.75" customHeight="1">
      <c r="A46" s="11" t="s">
        <v>385</v>
      </c>
    </row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44:C44"/>
    <mergeCell ref="A45:C45"/>
    <mergeCell ref="A1:C1"/>
    <mergeCell ref="A3:C3"/>
    <mergeCell ref="A19:C19"/>
    <mergeCell ref="A25:C25"/>
    <mergeCell ref="A34:C34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3" topLeftCell="A4" activePane="bottomLeft" state="frozen"/>
      <selection pane="bottomLeft" activeCell="E13" sqref="E13"/>
    </sheetView>
  </sheetViews>
  <sheetFormatPr defaultColWidth="14.42578125" defaultRowHeight="15" customHeight="1"/>
  <cols>
    <col min="1" max="1" width="10" customWidth="1"/>
    <col min="2" max="2" width="48" customWidth="1"/>
    <col min="3" max="3" width="14" customWidth="1"/>
    <col min="4" max="26" width="8.7109375" customWidth="1"/>
  </cols>
  <sheetData>
    <row r="1" spans="1:4" ht="25.5" customHeight="1">
      <c r="A1" s="23" t="s">
        <v>283</v>
      </c>
      <c r="B1" s="24"/>
      <c r="C1" s="25"/>
    </row>
    <row r="2" spans="1:4">
      <c r="A2" s="1" t="s">
        <v>7</v>
      </c>
      <c r="B2" s="1" t="s">
        <v>9</v>
      </c>
      <c r="C2" s="1" t="s">
        <v>10</v>
      </c>
      <c r="D2" s="14" t="s">
        <v>391</v>
      </c>
    </row>
    <row r="3" spans="1:4">
      <c r="A3" s="26" t="s">
        <v>289</v>
      </c>
      <c r="B3" s="27"/>
      <c r="C3" s="28"/>
    </row>
    <row r="4" spans="1:4">
      <c r="A4" s="4" t="s">
        <v>291</v>
      </c>
      <c r="B4" s="3" t="s">
        <v>293</v>
      </c>
      <c r="C4" s="5">
        <v>70</v>
      </c>
      <c r="D4" s="15">
        <f>(C4*33/67)+C4</f>
        <v>104.47761194029852</v>
      </c>
    </row>
    <row r="5" spans="1:4">
      <c r="A5" s="4" t="s">
        <v>295</v>
      </c>
      <c r="B5" s="3" t="s">
        <v>296</v>
      </c>
      <c r="C5" s="5">
        <v>70</v>
      </c>
      <c r="D5" s="15">
        <f t="shared" ref="D5:D9" si="0">(C5*33/67)+C5</f>
        <v>104.47761194029852</v>
      </c>
    </row>
    <row r="6" spans="1:4">
      <c r="A6" s="4">
        <v>20.3</v>
      </c>
      <c r="B6" s="3" t="s">
        <v>299</v>
      </c>
      <c r="C6" s="5">
        <v>80</v>
      </c>
      <c r="D6" s="15">
        <f t="shared" si="0"/>
        <v>119.40298507462686</v>
      </c>
    </row>
    <row r="7" spans="1:4">
      <c r="A7" s="4" t="s">
        <v>302</v>
      </c>
      <c r="B7" s="3" t="s">
        <v>303</v>
      </c>
      <c r="C7" s="5">
        <v>100</v>
      </c>
      <c r="D7" s="15">
        <f t="shared" si="0"/>
        <v>149.25373134328359</v>
      </c>
    </row>
    <row r="8" spans="1:4">
      <c r="A8" s="26" t="s">
        <v>306</v>
      </c>
      <c r="B8" s="27"/>
      <c r="C8" s="28"/>
      <c r="D8" s="15">
        <f>(C8*33/67)+C8</f>
        <v>0</v>
      </c>
    </row>
    <row r="9" spans="1:4">
      <c r="A9" s="4" t="s">
        <v>309</v>
      </c>
      <c r="B9" s="3" t="s">
        <v>310</v>
      </c>
      <c r="C9" s="5">
        <v>70</v>
      </c>
      <c r="D9" s="15">
        <f t="shared" si="0"/>
        <v>104.47761194029852</v>
      </c>
    </row>
    <row r="10" spans="1:4" ht="24" customHeight="1">
      <c r="A10" s="29" t="s">
        <v>313</v>
      </c>
      <c r="B10" s="19"/>
      <c r="C10" s="19"/>
    </row>
    <row r="12" spans="1:4" ht="24">
      <c r="A12" s="11" t="s">
        <v>314</v>
      </c>
    </row>
    <row r="13" spans="1:4">
      <c r="A13" s="22" t="s">
        <v>96</v>
      </c>
      <c r="B13" s="19"/>
      <c r="C13" s="19"/>
    </row>
    <row r="14" spans="1:4">
      <c r="A14" s="22" t="s">
        <v>101</v>
      </c>
      <c r="B14" s="19"/>
      <c r="C14" s="19"/>
    </row>
    <row r="15" spans="1:4" ht="24">
      <c r="A15" s="11" t="s">
        <v>317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4:C14"/>
    <mergeCell ref="A1:C1"/>
    <mergeCell ref="A3:C3"/>
    <mergeCell ref="A8:C8"/>
    <mergeCell ref="A10:C10"/>
    <mergeCell ref="A13:C13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I9" sqref="I9"/>
    </sheetView>
  </sheetViews>
  <sheetFormatPr defaultColWidth="14.42578125" defaultRowHeight="15" customHeight="1"/>
  <cols>
    <col min="1" max="1" width="26" customWidth="1"/>
    <col min="2" max="2" width="60" customWidth="1"/>
    <col min="3" max="26" width="8.7109375" customWidth="1"/>
  </cols>
  <sheetData>
    <row r="1" spans="1:2" ht="30" customHeight="1">
      <c r="A1" s="30" t="s">
        <v>350</v>
      </c>
      <c r="B1" s="19"/>
    </row>
    <row r="2" spans="1:2">
      <c r="A2" s="20" t="s">
        <v>354</v>
      </c>
      <c r="B2" s="19"/>
    </row>
    <row r="4" spans="1:2">
      <c r="A4" s="2" t="s">
        <v>15</v>
      </c>
      <c r="B4" s="3" t="s">
        <v>357</v>
      </c>
    </row>
    <row r="5" spans="1:2">
      <c r="A5" s="2" t="s">
        <v>15</v>
      </c>
      <c r="B5" s="3" t="s">
        <v>358</v>
      </c>
    </row>
    <row r="6" spans="1:2">
      <c r="A6" s="2" t="s">
        <v>15</v>
      </c>
      <c r="B6" s="3" t="s">
        <v>362</v>
      </c>
    </row>
    <row r="7" spans="1:2">
      <c r="A7" s="2" t="s">
        <v>364</v>
      </c>
      <c r="B7" s="3" t="s">
        <v>367</v>
      </c>
    </row>
    <row r="8" spans="1:2">
      <c r="A8" s="2" t="s">
        <v>31</v>
      </c>
      <c r="B8" s="3" t="s">
        <v>367</v>
      </c>
    </row>
    <row r="9" spans="1:2">
      <c r="A9" s="2" t="s">
        <v>372</v>
      </c>
      <c r="B9" s="3" t="s">
        <v>374</v>
      </c>
    </row>
    <row r="10" spans="1:2">
      <c r="A10" s="2" t="s">
        <v>376</v>
      </c>
      <c r="B10" s="3" t="s">
        <v>378</v>
      </c>
    </row>
    <row r="11" spans="1:2">
      <c r="A11" s="2" t="s">
        <v>376</v>
      </c>
      <c r="B11" s="3" t="s">
        <v>380</v>
      </c>
    </row>
    <row r="12" spans="1:2">
      <c r="A12" s="2" t="s">
        <v>382</v>
      </c>
      <c r="B12" s="3" t="s">
        <v>383</v>
      </c>
    </row>
    <row r="13" spans="1:2">
      <c r="A13" s="2" t="s">
        <v>382</v>
      </c>
      <c r="B13" s="3" t="s">
        <v>384</v>
      </c>
    </row>
    <row r="14" spans="1:2">
      <c r="A14" s="2" t="s">
        <v>386</v>
      </c>
      <c r="B14" s="3" t="s">
        <v>387</v>
      </c>
    </row>
    <row r="16" spans="1:2">
      <c r="A16" s="11" t="s">
        <v>388</v>
      </c>
    </row>
    <row r="17" spans="1:3">
      <c r="A17" s="22" t="s">
        <v>96</v>
      </c>
      <c r="B17" s="19"/>
      <c r="C17" s="19"/>
    </row>
    <row r="18" spans="1:3">
      <c r="A18" s="22" t="s">
        <v>101</v>
      </c>
      <c r="B18" s="19"/>
      <c r="C18" s="19"/>
    </row>
    <row r="19" spans="1:3">
      <c r="A19" s="11" t="s">
        <v>389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17:C17"/>
    <mergeCell ref="A18:C1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Page1 Front Cover</vt:lpstr>
      <vt:lpstr>Page2 Signature Thali</vt:lpstr>
      <vt:lpstr>Page3 Starters Soups</vt:lpstr>
      <vt:lpstr>Page4 Sabzi Curries</vt:lpstr>
      <vt:lpstr>Page5 Dal Rice Breads</vt:lpstr>
      <vt:lpstr>Page6 PavBhaji RiceBowls</vt:lpstr>
      <vt:lpstr>Page7 Dosa Varieties</vt:lpstr>
      <vt:lpstr>Page8 Sides Desserts</vt:lpstr>
      <vt:lpstr>Page9 Back 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2026-07-24T05:36:17Z</dcterms:modified>
</cp:coreProperties>
</file>